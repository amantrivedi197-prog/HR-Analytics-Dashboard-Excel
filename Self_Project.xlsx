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man\Downloads\"/>
    </mc:Choice>
  </mc:AlternateContent>
  <xr:revisionPtr revIDLastSave="0" documentId="8_{106FF15D-E522-4A95-BD37-4C664AE61EED}" xr6:coauthVersionLast="47" xr6:coauthVersionMax="47" xr10:uidLastSave="{00000000-0000-0000-0000-000000000000}"/>
  <bookViews>
    <workbookView xWindow="-108" yWindow="-108" windowWidth="23256" windowHeight="12456" activeTab="1" xr2:uid="{4FF146F1-7D52-4199-BEB5-3EE7794CAC34}"/>
  </bookViews>
  <sheets>
    <sheet name="Report" sheetId="1" r:id="rId1"/>
    <sheet name="Visuals" sheetId="2" r:id="rId2"/>
  </sheets>
  <definedNames>
    <definedName name="Slicer_Month">#N/A</definedName>
    <definedName name="Slicer_Year">#N/A</definedName>
  </definedNames>
  <calcPr calcId="191029"/>
  <pivotCaches>
    <pivotCache cacheId="281" r:id="rId3"/>
    <pivotCache cacheId="284" r:id="rId4"/>
    <pivotCache cacheId="287" r:id="rId5"/>
    <pivotCache cacheId="290" r:id="rId6"/>
    <pivotCache cacheId="293" r:id="rId7"/>
    <pivotCache cacheId="296" r:id="rId8"/>
    <pivotCache cacheId="299" r:id="rId9"/>
    <pivotCache cacheId="302" r:id="rId10"/>
    <pivotCache cacheId="305" r:id="rId11"/>
    <pivotCache cacheId="308" r:id="rId12"/>
  </pivotCaches>
  <extLst>
    <ext xmlns:x14="http://schemas.microsoft.com/office/spreadsheetml/2009/9/main" uri="{876F7934-8845-4945-9796-88D515C7AA90}">
      <x14:pivotCaches>
        <pivotCache cacheId="9" r:id="rId13"/>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es_f13f990e-bfdb-4fae-adc6-69ded39d6262" name="Dates" connection="Query - Dates"/>
          <x15:modelTable id="Departmens_94f50482-e1ac-44a5-a93c-203111044e67" name="Departmens" connection="Query - Departmens"/>
          <x15:modelTable id="Employees_3aa5bd21-bde8-4a5a-aed8-dcba12f77abf" name="Employees" connection="Query - Employees"/>
          <x15:modelTable id="JobRoles_ab41c537-8f4b-4b99-bee0-590d7477dae3" name="JobRoles" connection="Query - JobRoles"/>
          <x15:modelTable id="Locations_4a82116f-ede8-4a4a-b6d9-6b63e9b078cb" name="Locations" connection="Query - Locations"/>
        </x15:modelTables>
        <x15:modelRelationships>
          <x15:modelRelationship fromTable="Employees" fromColumn="Job_Role_ID" toTable="JobRoles" toColumn="JobRole_ID"/>
          <x15:modelRelationship fromTable="Employees" fromColumn="Department_ID" toTable="Departmens" toColumn="Department_ID"/>
          <x15:modelRelationship fromTable="Employees" fromColumn="Location_ID" toTable="Locations" toColumn="Location_ID"/>
          <x15:modelRelationship fromTable="Employees" fromColumn="Joining_Date" toTable="Dates" toColumn="Date"/>
        </x15:modelRelationships>
        <x15:extLst>
          <ext xmlns:x16="http://schemas.microsoft.com/office/spreadsheetml/2014/11/main" uri="{9835A34E-60A6-4A7C-AAB8-D5F71C897F49}">
            <x16:modelTimeGroupings>
              <x16:modelTimeGrouping tableName="Employees" columnName="Joining_Date" columnId="Joining_Date">
                <x16:calculatedTimeColumn columnName="Joining_Date (Year)" columnId="Joining_Date (Year)" contentType="years" isSelected="1"/>
                <x16:calculatedTimeColumn columnName="Joining_Date (Quarter)" columnId="Joining_Date (Quarter)" contentType="quarters" isSelected="1"/>
                <x16:calculatedTimeColumn columnName="Joining_Date (Month Index)" columnId="Joining_Date (Month Index)" contentType="monthsindex" isSelected="1"/>
                <x16:calculatedTimeColumn columnName="Joining_Date (Month)" columnId="Join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0A050A-79B2-49B8-AAFF-BC219C97BC70}" name="Query - Dates" description="Connection to the 'Dates' query in the workbook." type="100" refreshedVersion="8" minRefreshableVersion="5">
    <extLst>
      <ext xmlns:x15="http://schemas.microsoft.com/office/spreadsheetml/2010/11/main" uri="{DE250136-89BD-433C-8126-D09CA5730AF9}">
        <x15:connection id="c633e041-3dc6-4175-90b2-340703c5a34d"/>
      </ext>
    </extLst>
  </connection>
  <connection id="2" xr16:uid="{BBE7B31C-BB5D-4FAF-893A-E4D054D312C0}" name="Query - Departmens" description="Connection to the 'Departmens' query in the workbook." type="100" refreshedVersion="8" minRefreshableVersion="5">
    <extLst>
      <ext xmlns:x15="http://schemas.microsoft.com/office/spreadsheetml/2010/11/main" uri="{DE250136-89BD-433C-8126-D09CA5730AF9}">
        <x15:connection id="b4933412-4131-44f8-b179-efe44efd84e5"/>
      </ext>
    </extLst>
  </connection>
  <connection id="3" xr16:uid="{8D7860F9-6F0A-4B62-BE91-71C897ECBE2E}" name="Query - Employees" description="Connection to the 'Employees' query in the workbook." type="100" refreshedVersion="8" minRefreshableVersion="5">
    <extLst>
      <ext xmlns:x15="http://schemas.microsoft.com/office/spreadsheetml/2010/11/main" uri="{DE250136-89BD-433C-8126-D09CA5730AF9}">
        <x15:connection id="6d36d8b2-6ca6-4b09-b2e3-db13cad00840"/>
      </ext>
    </extLst>
  </connection>
  <connection id="4" xr16:uid="{34D9F6AE-CA4E-4841-8729-F4D99E2885DB}" name="Query - JobRoles" description="Connection to the 'JobRoles' query in the workbook." type="100" refreshedVersion="8" minRefreshableVersion="5">
    <extLst>
      <ext xmlns:x15="http://schemas.microsoft.com/office/spreadsheetml/2010/11/main" uri="{DE250136-89BD-433C-8126-D09CA5730AF9}">
        <x15:connection id="93e26714-434b-4ae3-b9e4-1ce0a3dcd86d"/>
      </ext>
    </extLst>
  </connection>
  <connection id="5" xr16:uid="{D4E0CF4D-D8DF-42A2-97D5-A813D2A86D99}" name="Query - Locations" description="Connection to the 'Locations' query in the workbook." type="100" refreshedVersion="8" minRefreshableVersion="5">
    <extLst>
      <ext xmlns:x15="http://schemas.microsoft.com/office/spreadsheetml/2010/11/main" uri="{DE250136-89BD-433C-8126-D09CA5730AF9}">
        <x15:connection id="4a0a2409-7db7-40fc-b0ad-3893ca91002b"/>
      </ext>
    </extLst>
  </connection>
  <connection id="6" xr16:uid="{2EA642F7-5100-4A46-B2B0-24FF3DCA7E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<sst xmlns="http://schemas.openxmlformats.org/spreadsheetml/2006/main" count="59" uniqueCount="30">
  <si>
    <t>Row Labels</t>
  </si>
  <si>
    <t>Information Technology</t>
  </si>
  <si>
    <t>Marketing</t>
  </si>
  <si>
    <t>Grand Total</t>
  </si>
  <si>
    <t>Count of Employee_ID</t>
  </si>
  <si>
    <t>Average of Salary</t>
  </si>
  <si>
    <t>Hyderabad</t>
  </si>
  <si>
    <t>Analyst</t>
  </si>
  <si>
    <t>Manager</t>
  </si>
  <si>
    <t>Senior Executive</t>
  </si>
  <si>
    <t>Team Lead</t>
  </si>
  <si>
    <t>Female</t>
  </si>
  <si>
    <t>Male</t>
  </si>
  <si>
    <t>2022</t>
  </si>
  <si>
    <t>2024</t>
  </si>
  <si>
    <t>Finance</t>
  </si>
  <si>
    <t>Bangalore</t>
  </si>
  <si>
    <t>2021</t>
  </si>
  <si>
    <t>2023</t>
  </si>
  <si>
    <t>2025</t>
  </si>
  <si>
    <t>Human Resources</t>
  </si>
  <si>
    <t>Sales</t>
  </si>
  <si>
    <t>Executive</t>
  </si>
  <si>
    <t xml:space="preserve"> </t>
  </si>
  <si>
    <t>Chennai</t>
  </si>
  <si>
    <t>Kolkata</t>
  </si>
  <si>
    <t>Pune</t>
  </si>
  <si>
    <t>NO</t>
  </si>
  <si>
    <t>YES</t>
  </si>
  <si>
    <t>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</si>
</sst>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_ [$₹-4009]\ * #,##0.00_ ;_ [$₹-4009]\ * \-#,##0.00_ ;_ [$₹-4009]\ * &quot;-&quot;??_ ;_ @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2" borderId="0" xfId="0" applyFill="1"/>
    <xf numFmtId="2" fontId="0" fillId="0" borderId="0" xfId="0" applyNumberFormat="1"/>
    <xf numFmtId="0" fontId="0" fillId="0" borderId="0" xfId="0" applyNumberFormat="1"/>
    <xf numFmtId="9" fontId="0" fillId="0" borderId="0" xfId="1" applyFont="1"/>
    <xf numFmtId="167" fontId="0" fillId="0" borderId="0" xfId="0" applyNumberFormat="1"/>
  </cellXfs>
  <cellStyles count="2">
    <cellStyle name="Normal" xfId="0" builtinId="0"/>
    <cellStyle name="Percent" xfId="1" builtinId="5"/>
  </cellStyles>
  <dxfs count="48">
    <dxf>
      <numFmt numFmtId="164" formatCode="0.0"/>
    </dxf>
    <dxf>
      <numFmt numFmtId="1" formatCode="0"/>
    </dxf>
    <dxf>
      <numFmt numFmtId="2" formatCode="0.00"/>
    </dxf>
    <dxf>
      <numFmt numFmtId="167" formatCode="_ [$₹-4009]\ * #,##0.00_ ;_ [$₹-4009]\ * \-#,##0.00_ ;_ [$₹-4009]\ * &quot;-&quot;??_ ;_ @_ "/>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2" formatCode="0.00"/>
    </dxf>
    <dxf>
      <font>
        <b/>
        <i val="0"/>
        <sz val="10"/>
        <color theme="0"/>
      </font>
      <fill>
        <patternFill>
          <bgColor theme="4"/>
        </patternFill>
      </fill>
      <border diagonalUp="0" diagonalDown="0">
        <left/>
        <right/>
        <top/>
        <bottom/>
        <vertical/>
        <horizontal/>
      </border>
    </dxf>
  </dxfs>
  <tableStyles count="2" defaultTableStyle="TableStyleMedium2" defaultPivotStyle="PivotStyleLight16">
    <tableStyle name="Slicer Style 1" pivot="0" table="0" count="1" xr9:uid="{9C4B7677-F550-41F2-AE8E-5D622115617B}">
      <tableStyleElement type="wholeTable" dxfId="47"/>
    </tableStyle>
    <tableStyle name="Slicer Style 2" pivot="0" table="0" count="2" xr9:uid="{4552727D-03CD-49BC-90D0-BC8CE15ADA5E}"/>
  </tableStyles>
  <colors>
    <mruColors>
      <color rgb="FFF59E0B"/>
      <color rgb="FF4472C4"/>
      <color rgb="FF14B8A6"/>
      <color rgb="FFCAAA98"/>
      <color rgb="FF1F2937"/>
    </mruColors>
  </colors>
  <extLst>
    <ext xmlns:x14="http://schemas.microsoft.com/office/spreadsheetml/2009/9/main" uri="{46F421CA-312F-682f-3DD2-61675219B42D}">
      <x14:dxfs count="2">
        <dxf>
          <font>
            <b/>
            <i val="0"/>
            <color theme="0"/>
          </font>
          <fill>
            <patternFill>
              <bgColor rgb="FF0070C0"/>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3" Type="http://schemas.openxmlformats.org/officeDocument/2006/relationships/pivotCacheDefinition" Target="pivotCache/pivotCacheDefinition1.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[Self_Project.xlsx]Report!PivotTable1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Report!$B$1</c:f>
              <c:strCache>
                <c:ptCount val="1"/>
                <c:pt idx="0">
                  <c:v>Total</c:v>
                </c:pt>
              </c:strCache>
            </c:strRef>
          </c:tx>
          <c:spPr>
            <a:solidFill>
              <a:schemeClr val="accent1"/>
            </a:solidFill>
            <a:ln>
              <a:noFill/>
            </a:ln>
            <a:effectLst/>
          </c:spPr>
          <c:invertIfNegative val="0"/>
          <c:cat>
            <c:strRef>
              <c:f>Report!$A$2:$A$7</c:f>
              <c:strCache>
                <c:ptCount val="5"/>
                <c:pt idx="0">
                  <c:v>Finance</c:v>
                </c:pt>
                <c:pt idx="1">
                  <c:v>Human Resources</c:v>
                </c:pt>
                <c:pt idx="2">
                  <c:v>Information Technology</c:v>
                </c:pt>
                <c:pt idx="3">
                  <c:v>Marketing</c:v>
                </c:pt>
                <c:pt idx="4">
                  <c:v>Sales</c:v>
                </c:pt>
              </c:strCache>
            </c:strRef>
          </c:cat>
          <c:val>
            <c:numRef>
              <c:f>Report!$B$2:$B$7</c:f>
              <c:numCache>
                <c:formatCode>General</c:formatCode>
                <c:ptCount val="5"/>
                <c:pt idx="0">
                  <c:v>52</c:v>
                </c:pt>
                <c:pt idx="1">
                  <c:v>59</c:v>
                </c:pt>
                <c:pt idx="2">
                  <c:v>64</c:v>
                </c:pt>
                <c:pt idx="3">
                  <c:v>64</c:v>
                </c:pt>
                <c:pt idx="4">
                  <c:v>61</c:v>
                </c:pt>
              </c:numCache>
            </c:numRef>
          </c:val>
          <c:extLst>
            <c:ext xmlns:c16="http://schemas.microsoft.com/office/drawing/2014/chart" uri="{C3380CC4-5D6E-409C-BE32-E72D297353CC}">
              <c16:uniqueId val="{00000000-7D73-44DF-8868-7CDB1623CDE2}"/>
            </c:ext>
          </c:extLst>
        </c:ser>
        <c:dLbls>
          <c:showLegendKey val="0"/>
          <c:showVal val="0"/>
          <c:showCatName val="0"/>
          <c:showSerName val="0"/>
          <c:showPercent val="0"/>
          <c:showBubbleSize val="0"/>
        </c:dLbls>
        <c:gapWidth val="219"/>
        <c:overlap val="-27"/>
        <c:axId val="2086341912"/>
        <c:axId val="2086344432"/>
      </c:barChart>
      <c:catAx>
        <c:axId val="2086341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44432"/>
        <c:crosses val="autoZero"/>
        <c:auto val="1"/>
        <c:lblAlgn val="ctr"/>
        <c:lblOffset val="100"/>
        <c:noMultiLvlLbl val="0"/>
      </c:catAx>
      <c:valAx>
        <c:axId val="208634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41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[Self_Project.xlsx]Report!PivotTable2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Salary by Department</a:t>
            </a:r>
            <a:endParaRPr lang="en-US" b="1"/>
          </a:p>
        </c:rich>
      </c:tx>
      <c:layout>
        <c:manualLayout>
          <c:xMode val="edge"/>
          <c:yMode val="edge"/>
          <c:x val="0.1314023827358246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471199928741853"/>
          <c:y val="0.23607604336848356"/>
          <c:w val="0.54501343882495457"/>
          <c:h val="0.66742738589211614"/>
        </c:manualLayout>
      </c:layout>
      <c:barChart>
        <c:barDir val="bar"/>
        <c:grouping val="clustered"/>
        <c:varyColors val="0"/>
        <c:ser>
          <c:idx val="0"/>
          <c:order val="0"/>
          <c:tx>
            <c:strRef>
              <c:f>Report!$E$1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Report!$D$2:$D$7</c:f>
              <c:strCache>
                <c:ptCount val="5"/>
                <c:pt idx="0">
                  <c:v>Finance</c:v>
                </c:pt>
                <c:pt idx="1">
                  <c:v>Human Resources</c:v>
                </c:pt>
                <c:pt idx="2">
                  <c:v>Information Technology</c:v>
                </c:pt>
                <c:pt idx="3">
                  <c:v>Marketing</c:v>
                </c:pt>
                <c:pt idx="4">
                  <c:v>Sales</c:v>
                </c:pt>
              </c:strCache>
            </c:strRef>
          </c:cat>
          <c:val>
            <c:numRef>
              <c:f>Report!$E$2:$E$7</c:f>
              <c:numCache>
                <c:formatCode>0</c:formatCode>
                <c:ptCount val="5"/>
                <c:pt idx="0">
                  <c:v>40307.692307692305</c:v>
                </c:pt>
                <c:pt idx="1">
                  <c:v>39271.186440677964</c:v>
                </c:pt>
                <c:pt idx="2">
                  <c:v>38000</c:v>
                </c:pt>
                <c:pt idx="3">
                  <c:v>37562.5</c:v>
                </c:pt>
                <c:pt idx="4">
                  <c:v>36426.229508196724</c:v>
                </c:pt>
              </c:numCache>
            </c:numRef>
          </c:val>
          <c:extLst>
            <c:ext xmlns:c16="http://schemas.microsoft.com/office/drawing/2014/chart" uri="{C3380CC4-5D6E-409C-BE32-E72D297353CC}">
              <c16:uniqueId val="{00000000-059D-4537-A7B3-5673953982A4}"/>
            </c:ext>
          </c:extLst>
        </c:ser>
        <c:dLbls>
          <c:dLblPos val="outEnd"/>
          <c:showLegendKey val="0"/>
          <c:showVal val="1"/>
          <c:showCatName val="0"/>
          <c:showSerName val="0"/>
          <c:showPercent val="0"/>
          <c:showBubbleSize val="0"/>
        </c:dLbls>
        <c:gapWidth val="182"/>
        <c:axId val="1150118656"/>
        <c:axId val="1150129096"/>
      </c:barChart>
      <c:catAx>
        <c:axId val="115011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29096"/>
        <c:crosses val="autoZero"/>
        <c:auto val="1"/>
        <c:lblAlgn val="ctr"/>
        <c:lblOffset val="100"/>
        <c:noMultiLvlLbl val="0"/>
      </c:catAx>
      <c:valAx>
        <c:axId val="1150129096"/>
        <c:scaling>
          <c:orientation val="minMax"/>
        </c:scaling>
        <c:delete val="1"/>
        <c:axPos val="b"/>
        <c:numFmt formatCode="0" sourceLinked="1"/>
        <c:majorTickMark val="none"/>
        <c:minorTickMark val="none"/>
        <c:tickLblPos val="nextTo"/>
        <c:crossAx val="115011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[Self_Project.xlsx]Report!PivotTable4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Report!$E$11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6E-4C2A-95CA-FCDA87B3B5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6E-4C2A-95CA-FCDA87B3B5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Report!$D$12:$D$14</c:f>
              <c:strCache>
                <c:ptCount val="2"/>
                <c:pt idx="0">
                  <c:v>Female</c:v>
                </c:pt>
                <c:pt idx="1">
                  <c:v>Male</c:v>
                </c:pt>
              </c:strCache>
            </c:strRef>
          </c:cat>
          <c:val>
            <c:numRef>
              <c:f>Report!$E$12:$E$14</c:f>
              <c:numCache>
                <c:formatCode>General</c:formatCode>
                <c:ptCount val="2"/>
                <c:pt idx="0">
                  <c:v>158</c:v>
                </c:pt>
                <c:pt idx="1">
                  <c:v>142</c:v>
                </c:pt>
              </c:numCache>
            </c:numRef>
          </c:val>
          <c:extLst>
            <c:ext xmlns:c16="http://schemas.microsoft.com/office/drawing/2014/chart" uri="{C3380CC4-5D6E-409C-BE32-E72D297353CC}">
              <c16:uniqueId val="{00000004-B96E-4C2A-95CA-FCDA87B3B51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[Self_Project.xlsx]Report!PivotTable5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Location</a:t>
            </a:r>
            <a:endParaRPr lang="en-US" b="1"/>
          </a:p>
        </c:rich>
      </c:tx>
      <c:layout>
        <c:manualLayout>
          <c:xMode val="edge"/>
          <c:yMode val="edge"/>
          <c:x val="0.23430863755666906"/>
          <c:y val="2.92397660818713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Report!$G$2:$G$7</c:f>
              <c:strCache>
                <c:ptCount val="5"/>
                <c:pt idx="0">
                  <c:v>Bangalore</c:v>
                </c:pt>
                <c:pt idx="1">
                  <c:v>Chennai</c:v>
                </c:pt>
                <c:pt idx="2">
                  <c:v>Hyderabad</c:v>
                </c:pt>
                <c:pt idx="3">
                  <c:v>Kolkata</c:v>
                </c:pt>
                <c:pt idx="4">
                  <c:v>Pune</c:v>
                </c:pt>
              </c:strCache>
            </c:strRef>
          </c:cat>
          <c:val>
            <c:numRef>
              <c:f>Report!$H$2:$H$7</c:f>
              <c:numCache>
                <c:formatCode>General</c:formatCode>
                <c:ptCount val="5"/>
                <c:pt idx="0">
                  <c:v>32</c:v>
                </c:pt>
                <c:pt idx="1">
                  <c:v>32</c:v>
                </c:pt>
                <c:pt idx="2">
                  <c:v>31</c:v>
                </c:pt>
                <c:pt idx="3">
                  <c:v>36</c:v>
                </c:pt>
                <c:pt idx="4">
                  <c:v>33</c:v>
                </c:pt>
              </c:numCache>
            </c:numRef>
          </c:val>
          <c:extLst>
            <c:ext xmlns:c16="http://schemas.microsoft.com/office/drawing/2014/chart" uri="{C3380CC4-5D6E-409C-BE32-E72D297353CC}">
              <c16:uniqueId val="{00000000-AA89-40CE-B328-C0E90E069815}"/>
            </c:ext>
          </c:extLst>
        </c:ser>
        <c:dLbls>
          <c:dLblPos val="outEnd"/>
          <c:showLegendKey val="0"/>
          <c:showVal val="1"/>
          <c:showCatName val="0"/>
          <c:showSerName val="0"/>
          <c:showPercent val="0"/>
          <c:showBubbleSize val="0"/>
        </c:dLbls>
        <c:gapWidth val="182"/>
        <c:axId val="44139759"/>
        <c:axId val="44141919"/>
      </c:barChart>
      <c:catAx>
        <c:axId val="4413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1919"/>
        <c:crosses val="autoZero"/>
        <c:auto val="1"/>
        <c:lblAlgn val="ctr"/>
        <c:lblOffset val="100"/>
        <c:noMultiLvlLbl val="0"/>
      </c:catAx>
      <c:valAx>
        <c:axId val="44141919"/>
        <c:scaling>
          <c:orientation val="minMax"/>
        </c:scaling>
        <c:delete val="1"/>
        <c:axPos val="b"/>
        <c:numFmt formatCode="General" sourceLinked="1"/>
        <c:majorTickMark val="none"/>
        <c:minorTickMark val="none"/>
        <c:tickLblPos val="nextTo"/>
        <c:crossAx val="4413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[Self_Project.xlsx]Report!PivotTable6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a:t>
            </a:r>
            <a:r>
              <a:rPr lang="en-US" b="1" baseline="0"/>
              <a:t> Count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Report!$B$21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Report!$A$22:$A$27</c:f>
              <c:strCache>
                <c:ptCount val="5"/>
                <c:pt idx="0">
                  <c:v>2021</c:v>
                </c:pt>
                <c:pt idx="1">
                  <c:v>2022</c:v>
                </c:pt>
                <c:pt idx="2">
                  <c:v>2023</c:v>
                </c:pt>
                <c:pt idx="3">
                  <c:v>2024</c:v>
                </c:pt>
                <c:pt idx="4">
                  <c:v>2025</c:v>
                </c:pt>
              </c:strCache>
            </c:strRef>
          </c:cat>
          <c:val>
            <c:numRef>
              <c:f>Report!$B$22:$B$27</c:f>
              <c:numCache>
                <c:formatCode>General</c:formatCode>
                <c:ptCount val="5"/>
                <c:pt idx="0">
                  <c:v>66</c:v>
                </c:pt>
                <c:pt idx="1">
                  <c:v>52</c:v>
                </c:pt>
                <c:pt idx="2">
                  <c:v>68</c:v>
                </c:pt>
                <c:pt idx="3">
                  <c:v>50</c:v>
                </c:pt>
                <c:pt idx="4">
                  <c:v>64</c:v>
                </c:pt>
              </c:numCache>
            </c:numRef>
          </c:val>
          <c:smooth val="0"/>
          <c:extLst>
            <c:ext xmlns:c16="http://schemas.microsoft.com/office/drawing/2014/chart" uri="{C3380CC4-5D6E-409C-BE32-E72D297353CC}">
              <c16:uniqueId val="{00000000-16CD-426B-BF63-A76421B4FE81}"/>
            </c:ext>
          </c:extLst>
        </c:ser>
        <c:dLbls>
          <c:showLegendKey val="0"/>
          <c:showVal val="0"/>
          <c:showCatName val="0"/>
          <c:showSerName val="0"/>
          <c:showPercent val="0"/>
          <c:showBubbleSize val="0"/>
        </c:dLbls>
        <c:marker val="1"/>
        <c:smooth val="0"/>
        <c:axId val="979838600"/>
        <c:axId val="979841840"/>
      </c:lineChart>
      <c:catAx>
        <c:axId val="979838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41840"/>
        <c:crosses val="autoZero"/>
        <c:auto val="1"/>
        <c:lblAlgn val="ctr"/>
        <c:lblOffset val="100"/>
        <c:noMultiLvlLbl val="0"/>
      </c:catAx>
      <c:valAx>
        <c:axId val="97984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386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[Self_Project.xlsx]Report!PivotTable3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Job Role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Report!$B$11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B5-4C2D-B13C-00E45C416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B5-4C2D-B13C-00E45C416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B5-4C2D-B13C-00E45C416C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B5-4C2D-B13C-00E45C416C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B5-4C2D-B13C-00E45C416CA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Report!$A$12:$A$17</c:f>
              <c:strCache>
                <c:ptCount val="5"/>
                <c:pt idx="0">
                  <c:v>Analyst</c:v>
                </c:pt>
                <c:pt idx="1">
                  <c:v>Executive</c:v>
                </c:pt>
                <c:pt idx="2">
                  <c:v>Manager</c:v>
                </c:pt>
                <c:pt idx="3">
                  <c:v>Senior Executive</c:v>
                </c:pt>
                <c:pt idx="4">
                  <c:v>Team Lead</c:v>
                </c:pt>
              </c:strCache>
            </c:strRef>
          </c:cat>
          <c:val>
            <c:numRef>
              <c:f>Report!$B$12:$B$17</c:f>
              <c:numCache>
                <c:formatCode>General</c:formatCode>
                <c:ptCount val="5"/>
                <c:pt idx="0">
                  <c:v>57</c:v>
                </c:pt>
                <c:pt idx="1">
                  <c:v>62</c:v>
                </c:pt>
                <c:pt idx="2">
                  <c:v>64</c:v>
                </c:pt>
                <c:pt idx="3">
                  <c:v>62</c:v>
                </c:pt>
                <c:pt idx="4">
                  <c:v>55</c:v>
                </c:pt>
              </c:numCache>
            </c:numRef>
          </c:val>
          <c:extLst>
            <c:ext xmlns:c16="http://schemas.microsoft.com/office/drawing/2014/chart" uri="{C3380CC4-5D6E-409C-BE32-E72D297353CC}">
              <c16:uniqueId val="{0000000A-B2B5-4C2D-B13C-00E45C416CA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153094</xdr:colOff>
      <xdr:row>20</xdr:row>
      <xdr:rowOff>99214</xdr:rowOff>
    </xdr:from>
    <xdr:to>
      <xdr:col>12</xdr:col>
      <xdr:colOff>53494</xdr:colOff>
      <xdr:row>30</xdr:row>
      <xdr:rowOff>61572</xdr:rowOff>
    </xdr:to>
    <xdr:graphicFrame macro="">
      <xdr:nvGraphicFramePr>
        <xdr:cNvPr id="2" name="Chart 1">
          <a:extLst>
            <a:ext uri="{FF2B5EF4-FFF2-40B4-BE49-F238E27FC236}">
              <a16:creationId xmlns:a16="http://schemas.microsoft.com/office/drawing/2014/main" id="{F34182CB-A6D3-4B2D-8FE5-DD264E28D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135556</xdr:colOff>
      <xdr:row>10</xdr:row>
      <xdr:rowOff>4858</xdr:rowOff>
    </xdr:from>
    <xdr:to>
      <xdr:col>12</xdr:col>
      <xdr:colOff>35956</xdr:colOff>
      <xdr:row>19</xdr:row>
      <xdr:rowOff>150390</xdr:rowOff>
    </xdr:to>
    <xdr:graphicFrame macro="">
      <xdr:nvGraphicFramePr>
        <xdr:cNvPr id="3" name="Chart 2">
          <a:extLst>
            <a:ext uri="{FF2B5EF4-FFF2-40B4-BE49-F238E27FC236}">
              <a16:creationId xmlns:a16="http://schemas.microsoft.com/office/drawing/2014/main" id="{E53A63C7-D715-47E2-B77D-824A00005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205341</xdr:colOff>
      <xdr:row>9</xdr:row>
      <xdr:rowOff>181321</xdr:rowOff>
    </xdr:from>
    <xdr:to>
      <xdr:col>17</xdr:col>
      <xdr:colOff>105741</xdr:colOff>
      <xdr:row>19</xdr:row>
      <xdr:rowOff>143680</xdr:rowOff>
    </xdr:to>
    <xdr:graphicFrame macro="">
      <xdr:nvGraphicFramePr>
        <xdr:cNvPr id="5" name="Chart 4">
          <a:extLst>
            <a:ext uri="{FF2B5EF4-FFF2-40B4-BE49-F238E27FC236}">
              <a16:creationId xmlns:a16="http://schemas.microsoft.com/office/drawing/2014/main" id="{6A1BF14D-5823-4CC3-A05C-D32913836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211756</xdr:colOff>
      <xdr:row>20</xdr:row>
      <xdr:rowOff>91701</xdr:rowOff>
    </xdr:from>
    <xdr:to>
      <xdr:col>17</xdr:col>
      <xdr:colOff>112156</xdr:colOff>
      <xdr:row>30</xdr:row>
      <xdr:rowOff>54059</xdr:rowOff>
    </xdr:to>
    <xdr:graphicFrame macro="">
      <xdr:nvGraphicFramePr>
        <xdr:cNvPr id="6" name="Chart 5">
          <a:extLst>
            <a:ext uri="{FF2B5EF4-FFF2-40B4-BE49-F238E27FC236}">
              <a16:creationId xmlns:a16="http://schemas.microsoft.com/office/drawing/2014/main" id="{62A5FFA1-F7E6-42DE-9524-741C0881E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88926</xdr:colOff>
      <xdr:row>20</xdr:row>
      <xdr:rowOff>100018</xdr:rowOff>
    </xdr:from>
    <xdr:to>
      <xdr:col>6</xdr:col>
      <xdr:colOff>598926</xdr:colOff>
      <xdr:row>30</xdr:row>
      <xdr:rowOff>62376</xdr:rowOff>
    </xdr:to>
    <xdr:graphicFrame macro="">
      <xdr:nvGraphicFramePr>
        <xdr:cNvPr id="7" name="Chart 6">
          <a:extLst>
            <a:ext uri="{FF2B5EF4-FFF2-40B4-BE49-F238E27FC236}">
              <a16:creationId xmlns:a16="http://schemas.microsoft.com/office/drawing/2014/main" id="{97EE95B2-36D2-4852-9ACD-30B1CDE4B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30881</xdr:colOff>
      <xdr:row>6</xdr:row>
      <xdr:rowOff>142373</xdr:rowOff>
    </xdr:from>
    <xdr:to>
      <xdr:col>17</xdr:col>
      <xdr:colOff>145181</xdr:colOff>
      <xdr:row>9</xdr:row>
      <xdr:rowOff>149992</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34ACA35B-D261-4C3F-B026-8E5A23D292A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0881" y="1249278"/>
              <a:ext cx="10477500" cy="561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77588</xdr:colOff>
      <xdr:row>10</xdr:row>
      <xdr:rowOff>8179</xdr:rowOff>
    </xdr:from>
    <xdr:to>
      <xdr:col>6</xdr:col>
      <xdr:colOff>586925</xdr:colOff>
      <xdr:row>19</xdr:row>
      <xdr:rowOff>155256</xdr:rowOff>
    </xdr:to>
    <xdr:graphicFrame macro="">
      <xdr:nvGraphicFramePr>
        <xdr:cNvPr id="10" name="Chart 9">
          <a:extLst>
            <a:ext uri="{FF2B5EF4-FFF2-40B4-BE49-F238E27FC236}">
              <a16:creationId xmlns:a16="http://schemas.microsoft.com/office/drawing/2014/main" id="{14D84FE5-E4F3-4028-94B9-801894B20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141572</xdr:colOff>
      <xdr:row>3</xdr:row>
      <xdr:rowOff>29277</xdr:rowOff>
    </xdr:from>
    <xdr:to>
      <xdr:col>3</xdr:col>
      <xdr:colOff>187292</xdr:colOff>
      <xdr:row>6</xdr:row>
      <xdr:rowOff>143578</xdr:rowOff>
    </xdr:to>
    <xdr:sp macro="" textlink="Report!D22">
      <xdr:nvSpPr>
        <xdr:cNvPr id="18" name="Rectangle: Rounded Corners 17">
          <a:extLst>
            <a:ext uri="{FF2B5EF4-FFF2-40B4-BE49-F238E27FC236}">
              <a16:creationId xmlns:a16="http://schemas.microsoft.com/office/drawing/2014/main" id="{47A4D6E7-FF55-42F7-A8B1-D2F2A61782E8}"/>
            </a:ext>
          </a:extLst>
        </xdr:cNvPr>
        <xdr:cNvSpPr/>
      </xdr:nvSpPr>
      <xdr:spPr>
        <a:xfrm>
          <a:off x="141572" y="582730"/>
          <a:ext cx="1874520" cy="667753"/>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39406476-EA6F-4E0F-B0BD-598D81505C58}" type="TxLink">
            <a:rPr lang="en-US" sz="2400" b="1" i="0" u="none" strike="noStrike">
              <a:solidFill>
                <a:srgbClr val="000000"/>
              </a:solidFill>
              <a:latin typeface="Calibri"/>
              <a:ea typeface="Calibri"/>
              <a:cs typeface="Calibri"/>
            </a:rPr>
            <a:pPr algn="ctr"/>
            <a:t>300</a:t>
          </a:fld>
          <a:endParaRPr lang="en-US" sz="2400" b="1"/>
        </a:p>
      </xdr:txBody>
    </xdr:sp>
    <xdr:clientData/>
  </xdr:twoCellAnchor>
  <xdr:twoCellAnchor editAs="oneCell">
    <xdr:from>
      <xdr:col>0</xdr:col>
      <xdr:colOff>24063</xdr:colOff>
      <xdr:row>9</xdr:row>
      <xdr:rowOff>93042</xdr:rowOff>
    </xdr:from>
    <xdr:to>
      <xdr:col>2</xdr:col>
      <xdr:colOff>40105</xdr:colOff>
      <xdr:row>31</xdr:row>
      <xdr:rowOff>72188</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BF8B8029-952A-43FF-9731-82B90CCCDF9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4063" y="1753400"/>
              <a:ext cx="1235242" cy="403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416294</xdr:colOff>
      <xdr:row>3</xdr:row>
      <xdr:rowOff>29677</xdr:rowOff>
    </xdr:from>
    <xdr:to>
      <xdr:col>6</xdr:col>
      <xdr:colOff>462014</xdr:colOff>
      <xdr:row>6</xdr:row>
      <xdr:rowOff>143978</xdr:rowOff>
    </xdr:to>
    <xdr:sp macro="" textlink="Report!D26">
      <xdr:nvSpPr>
        <xdr:cNvPr id="20" name="Rectangle: Rounded Corners 19">
          <a:extLst>
            <a:ext uri="{FF2B5EF4-FFF2-40B4-BE49-F238E27FC236}">
              <a16:creationId xmlns:a16="http://schemas.microsoft.com/office/drawing/2014/main" id="{851E7D09-C0B5-8238-F6D3-45B4D955A694}"/>
            </a:ext>
          </a:extLst>
        </xdr:cNvPr>
        <xdr:cNvSpPr/>
      </xdr:nvSpPr>
      <xdr:spPr>
        <a:xfrm>
          <a:off x="2245094" y="583130"/>
          <a:ext cx="1874520" cy="667753"/>
        </a:xfrm>
        <a:prstGeom prst="roundRect">
          <a:avLst/>
        </a:prstGeom>
        <a:solidFill>
          <a:schemeClr val="lt1">
            <a:alpha val="96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908594C1-6F42-451F-BA54-6ED35E411723}" type="TxLink">
            <a:rPr lang="en-US" sz="2400" b="1" i="0" u="none" strike="noStrike">
              <a:solidFill>
                <a:srgbClr val="000000"/>
              </a:solidFill>
              <a:latin typeface="Calibri"/>
              <a:ea typeface="Calibri"/>
              <a:cs typeface="Calibri"/>
            </a:rPr>
            <a:pPr algn="ctr"/>
            <a:t> ₹ 38,236.67 </a:t>
          </a:fld>
          <a:endParaRPr lang="en-US" sz="2400" b="1"/>
        </a:p>
      </xdr:txBody>
    </xdr:sp>
    <xdr:clientData/>
  </xdr:twoCellAnchor>
  <xdr:twoCellAnchor>
    <xdr:from>
      <xdr:col>7</xdr:col>
      <xdr:colOff>74195</xdr:colOff>
      <xdr:row>3</xdr:row>
      <xdr:rowOff>28474</xdr:rowOff>
    </xdr:from>
    <xdr:to>
      <xdr:col>10</xdr:col>
      <xdr:colOff>119915</xdr:colOff>
      <xdr:row>6</xdr:row>
      <xdr:rowOff>144379</xdr:rowOff>
    </xdr:to>
    <xdr:sp macro="" textlink="Report!E31">
      <xdr:nvSpPr>
        <xdr:cNvPr id="21" name="Rectangle: Rounded Corners 20">
          <a:extLst>
            <a:ext uri="{FF2B5EF4-FFF2-40B4-BE49-F238E27FC236}">
              <a16:creationId xmlns:a16="http://schemas.microsoft.com/office/drawing/2014/main" id="{22836FDD-5B86-3D49-1902-B4415CDBF37B}"/>
            </a:ext>
          </a:extLst>
        </xdr:cNvPr>
        <xdr:cNvSpPr/>
      </xdr:nvSpPr>
      <xdr:spPr>
        <a:xfrm>
          <a:off x="4341395" y="581927"/>
          <a:ext cx="1874520" cy="669357"/>
        </a:xfrm>
        <a:prstGeom prst="roundRect">
          <a:avLst/>
        </a:prstGeom>
        <a:solidFill>
          <a:schemeClr val="lt1">
            <a:alpha val="96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2E7BD4EC-96D0-403D-A1B5-88C5A8F6F1AC}" type="TxLink">
            <a:rPr lang="en-US" sz="2400" b="1" i="0" u="none" strike="noStrike">
              <a:solidFill>
                <a:srgbClr val="000000"/>
              </a:solidFill>
              <a:latin typeface="Calibri"/>
              <a:ea typeface="Calibri"/>
              <a:cs typeface="Calibri"/>
            </a:rPr>
            <a:pPr algn="ctr"/>
            <a:t>142</a:t>
          </a:fld>
          <a:endParaRPr lang="en-US" sz="2400" b="1"/>
        </a:p>
      </xdr:txBody>
    </xdr:sp>
    <xdr:clientData/>
  </xdr:twoCellAnchor>
  <xdr:twoCellAnchor>
    <xdr:from>
      <xdr:col>10</xdr:col>
      <xdr:colOff>300388</xdr:colOff>
      <xdr:row>3</xdr:row>
      <xdr:rowOff>20453</xdr:rowOff>
    </xdr:from>
    <xdr:to>
      <xdr:col>13</xdr:col>
      <xdr:colOff>346108</xdr:colOff>
      <xdr:row>6</xdr:row>
      <xdr:rowOff>136358</xdr:rowOff>
    </xdr:to>
    <xdr:sp macro="" textlink="Report!E30">
      <xdr:nvSpPr>
        <xdr:cNvPr id="22" name="Rectangle: Rounded Corners 21">
          <a:extLst>
            <a:ext uri="{FF2B5EF4-FFF2-40B4-BE49-F238E27FC236}">
              <a16:creationId xmlns:a16="http://schemas.microsoft.com/office/drawing/2014/main" id="{8E7D3ED6-D8D9-DF2D-8E50-D2717FA47987}"/>
            </a:ext>
          </a:extLst>
        </xdr:cNvPr>
        <xdr:cNvSpPr/>
      </xdr:nvSpPr>
      <xdr:spPr>
        <a:xfrm>
          <a:off x="6396388" y="573906"/>
          <a:ext cx="1874520" cy="669357"/>
        </a:xfrm>
        <a:prstGeom prst="roundRect">
          <a:avLst/>
        </a:prstGeom>
        <a:solidFill>
          <a:schemeClr val="lt1">
            <a:alpha val="96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21D21768-DD9C-4B0C-B750-4F51E0BA987D}" type="TxLink">
            <a:rPr lang="en-US" sz="2400" b="1" i="0" u="none" strike="noStrike">
              <a:solidFill>
                <a:srgbClr val="000000"/>
              </a:solidFill>
              <a:latin typeface="Calibri"/>
              <a:ea typeface="Calibri"/>
              <a:cs typeface="Calibri"/>
            </a:rPr>
            <a:pPr algn="ctr"/>
            <a:t>158</a:t>
          </a:fld>
          <a:endParaRPr lang="en-US" sz="2400" b="1"/>
        </a:p>
      </xdr:txBody>
    </xdr:sp>
    <xdr:clientData/>
  </xdr:twoCellAnchor>
  <xdr:twoCellAnchor>
    <xdr:from>
      <xdr:col>13</xdr:col>
      <xdr:colOff>514149</xdr:colOff>
      <xdr:row>3</xdr:row>
      <xdr:rowOff>20453</xdr:rowOff>
    </xdr:from>
    <xdr:to>
      <xdr:col>16</xdr:col>
      <xdr:colOff>559869</xdr:colOff>
      <xdr:row>6</xdr:row>
      <xdr:rowOff>136358</xdr:rowOff>
    </xdr:to>
    <xdr:sp macro="" textlink="Report!G36">
      <xdr:nvSpPr>
        <xdr:cNvPr id="4" name="Rectangle: Rounded Corners 3">
          <a:extLst>
            <a:ext uri="{FF2B5EF4-FFF2-40B4-BE49-F238E27FC236}">
              <a16:creationId xmlns:a16="http://schemas.microsoft.com/office/drawing/2014/main" id="{2A826635-C19C-1421-BDDC-657E8A1D927E}"/>
            </a:ext>
          </a:extLst>
        </xdr:cNvPr>
        <xdr:cNvSpPr/>
      </xdr:nvSpPr>
      <xdr:spPr>
        <a:xfrm>
          <a:off x="8438949" y="573906"/>
          <a:ext cx="1874520" cy="669357"/>
        </a:xfrm>
        <a:prstGeom prst="roundRect">
          <a:avLst/>
        </a:prstGeom>
        <a:solidFill>
          <a:schemeClr val="lt1">
            <a:alpha val="96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375DC70C-56F7-4701-A468-DBAB2D5ED681}" type="TxLink">
            <a:rPr lang="en-US" sz="2400" b="1" i="0" u="none" strike="noStrike">
              <a:solidFill>
                <a:srgbClr val="000000"/>
              </a:solidFill>
              <a:latin typeface="Calibri"/>
              <a:ea typeface="Calibri"/>
              <a:cs typeface="Calibri"/>
            </a:rPr>
            <a:pPr algn="ctr"/>
            <a:t>23%</a:t>
          </a:fld>
          <a:endParaRPr lang="en-US" sz="2400" b="1"/>
        </a:p>
      </xdr:txBody>
    </xdr:sp>
    <xdr:clientData/>
  </xdr:twoCellAnchor>
  <xdr:twoCellAnchor>
    <xdr:from>
      <xdr:col>0</xdr:col>
      <xdr:colOff>136357</xdr:colOff>
      <xdr:row>0</xdr:row>
      <xdr:rowOff>40105</xdr:rowOff>
    </xdr:from>
    <xdr:to>
      <xdr:col>16</xdr:col>
      <xdr:colOff>537411</xdr:colOff>
      <xdr:row>2</xdr:row>
      <xdr:rowOff>160421</xdr:rowOff>
    </xdr:to>
    <xdr:sp macro="" textlink="">
      <xdr:nvSpPr>
        <xdr:cNvPr id="8" name="Rectangle: Rounded Corners 7">
          <a:extLst>
            <a:ext uri="{FF2B5EF4-FFF2-40B4-BE49-F238E27FC236}">
              <a16:creationId xmlns:a16="http://schemas.microsoft.com/office/drawing/2014/main" id="{9759064F-1509-3EDA-649A-3A3CD0A7B76D}"/>
            </a:ext>
          </a:extLst>
        </xdr:cNvPr>
        <xdr:cNvSpPr/>
      </xdr:nvSpPr>
      <xdr:spPr>
        <a:xfrm>
          <a:off x="136357" y="40105"/>
          <a:ext cx="10154654" cy="489284"/>
        </a:xfrm>
        <a:prstGeom prst="roundRect">
          <a:avLst/>
        </a:prstGeom>
        <a:solidFill>
          <a:srgbClr val="4472C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4000">
              <a:solidFill>
                <a:schemeClr val="bg1"/>
              </a:solidFill>
            </a:rPr>
            <a:t>HR</a:t>
          </a:r>
          <a:r>
            <a:rPr lang="en-US" sz="4000" baseline="0">
              <a:solidFill>
                <a:schemeClr val="bg1"/>
              </a:solidFill>
            </a:rPr>
            <a:t> ANALYTICS DASHBOARD</a:t>
          </a:r>
          <a:endParaRPr lang="en-US" sz="4000">
            <a:solidFill>
              <a:schemeClr val="bg1"/>
            </a:solidFill>
          </a:endParaRPr>
        </a:p>
      </xdr:txBody>
    </xdr:sp>
    <xdr:clientData/>
  </xdr:twoCellAnchor>
  <xdr:twoCellAnchor>
    <xdr:from>
      <xdr:col>0</xdr:col>
      <xdr:colOff>451261</xdr:colOff>
      <xdr:row>3</xdr:row>
      <xdr:rowOff>20208</xdr:rowOff>
    </xdr:from>
    <xdr:to>
      <xdr:col>2</xdr:col>
      <xdr:colOff>499387</xdr:colOff>
      <xdr:row>4</xdr:row>
      <xdr:rowOff>68334</xdr:rowOff>
    </xdr:to>
    <xdr:sp macro="" textlink="">
      <xdr:nvSpPr>
        <xdr:cNvPr id="11" name="TextBox 10">
          <a:extLst>
            <a:ext uri="{FF2B5EF4-FFF2-40B4-BE49-F238E27FC236}">
              <a16:creationId xmlns:a16="http://schemas.microsoft.com/office/drawing/2014/main" id="{F95CE30D-C4C8-8849-150A-ECF25747AFB4}"/>
            </a:ext>
          </a:extLst>
        </xdr:cNvPr>
        <xdr:cNvSpPr txBox="1"/>
      </xdr:nvSpPr>
      <xdr:spPr>
        <a:xfrm>
          <a:off x="451261" y="569727"/>
          <a:ext cx="1264395" cy="23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Employees</a:t>
          </a:r>
        </a:p>
      </xdr:txBody>
    </xdr:sp>
    <xdr:clientData/>
  </xdr:twoCellAnchor>
  <xdr:twoCellAnchor>
    <xdr:from>
      <xdr:col>4</xdr:col>
      <xdr:colOff>336885</xdr:colOff>
      <xdr:row>3</xdr:row>
      <xdr:rowOff>20208</xdr:rowOff>
    </xdr:from>
    <xdr:to>
      <xdr:col>6</xdr:col>
      <xdr:colOff>385011</xdr:colOff>
      <xdr:row>4</xdr:row>
      <xdr:rowOff>68334</xdr:rowOff>
    </xdr:to>
    <xdr:sp macro="" textlink="">
      <xdr:nvSpPr>
        <xdr:cNvPr id="12" name="TextBox 11">
          <a:extLst>
            <a:ext uri="{FF2B5EF4-FFF2-40B4-BE49-F238E27FC236}">
              <a16:creationId xmlns:a16="http://schemas.microsoft.com/office/drawing/2014/main" id="{FCF01441-6BF1-0621-3DEE-9206AD3943E1}"/>
            </a:ext>
          </a:extLst>
        </xdr:cNvPr>
        <xdr:cNvSpPr txBox="1"/>
      </xdr:nvSpPr>
      <xdr:spPr>
        <a:xfrm>
          <a:off x="2769423" y="569727"/>
          <a:ext cx="1264396" cy="23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a:t>
          </a:r>
          <a:r>
            <a:rPr lang="en-US" sz="1200" b="1" baseline="0"/>
            <a:t> Salary</a:t>
          </a:r>
          <a:endParaRPr lang="en-US" sz="1200" b="1"/>
        </a:p>
      </xdr:txBody>
    </xdr:sp>
    <xdr:clientData/>
  </xdr:twoCellAnchor>
  <xdr:twoCellAnchor>
    <xdr:from>
      <xdr:col>7</xdr:col>
      <xdr:colOff>385011</xdr:colOff>
      <xdr:row>3</xdr:row>
      <xdr:rowOff>28229</xdr:rowOff>
    </xdr:from>
    <xdr:to>
      <xdr:col>9</xdr:col>
      <xdr:colOff>433137</xdr:colOff>
      <xdr:row>4</xdr:row>
      <xdr:rowOff>76355</xdr:rowOff>
    </xdr:to>
    <xdr:sp macro="" textlink="">
      <xdr:nvSpPr>
        <xdr:cNvPr id="13" name="TextBox 12">
          <a:extLst>
            <a:ext uri="{FF2B5EF4-FFF2-40B4-BE49-F238E27FC236}">
              <a16:creationId xmlns:a16="http://schemas.microsoft.com/office/drawing/2014/main" id="{D651EA88-DC70-28CB-3C57-65073A8D27AA}"/>
            </a:ext>
          </a:extLst>
        </xdr:cNvPr>
        <xdr:cNvSpPr txBox="1"/>
      </xdr:nvSpPr>
      <xdr:spPr>
        <a:xfrm>
          <a:off x="4641953" y="577748"/>
          <a:ext cx="1264396" cy="23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Male</a:t>
          </a:r>
          <a:r>
            <a:rPr lang="en-US" sz="1200" b="1" baseline="0"/>
            <a:t> Employees</a:t>
          </a:r>
          <a:endParaRPr lang="en-US" sz="1200" b="1"/>
        </a:p>
      </xdr:txBody>
    </xdr:sp>
    <xdr:clientData/>
  </xdr:twoCellAnchor>
  <xdr:twoCellAnchor>
    <xdr:from>
      <xdr:col>10</xdr:col>
      <xdr:colOff>547513</xdr:colOff>
      <xdr:row>3</xdr:row>
      <xdr:rowOff>13574</xdr:rowOff>
    </xdr:from>
    <xdr:to>
      <xdr:col>13</xdr:col>
      <xdr:colOff>130418</xdr:colOff>
      <xdr:row>4</xdr:row>
      <xdr:rowOff>61700</xdr:rowOff>
    </xdr:to>
    <xdr:sp macro="" textlink="">
      <xdr:nvSpPr>
        <xdr:cNvPr id="14" name="TextBox 13">
          <a:extLst>
            <a:ext uri="{FF2B5EF4-FFF2-40B4-BE49-F238E27FC236}">
              <a16:creationId xmlns:a16="http://schemas.microsoft.com/office/drawing/2014/main" id="{C4D50373-8FEE-BD2D-886C-1CD9CA77960B}"/>
            </a:ext>
          </a:extLst>
        </xdr:cNvPr>
        <xdr:cNvSpPr txBox="1"/>
      </xdr:nvSpPr>
      <xdr:spPr>
        <a:xfrm>
          <a:off x="6628859" y="563093"/>
          <a:ext cx="1407309" cy="23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Female Employees</a:t>
          </a:r>
          <a:endParaRPr lang="en-US" sz="1200" b="1"/>
        </a:p>
      </xdr:txBody>
    </xdr:sp>
    <xdr:clientData/>
  </xdr:twoCellAnchor>
  <xdr:twoCellAnchor>
    <xdr:from>
      <xdr:col>14</xdr:col>
      <xdr:colOff>85917</xdr:colOff>
      <xdr:row>3</xdr:row>
      <xdr:rowOff>6248</xdr:rowOff>
    </xdr:from>
    <xdr:to>
      <xdr:col>16</xdr:col>
      <xdr:colOff>276957</xdr:colOff>
      <xdr:row>4</xdr:row>
      <xdr:rowOff>54374</xdr:rowOff>
    </xdr:to>
    <xdr:sp macro="" textlink="">
      <xdr:nvSpPr>
        <xdr:cNvPr id="15" name="TextBox 14">
          <a:extLst>
            <a:ext uri="{FF2B5EF4-FFF2-40B4-BE49-F238E27FC236}">
              <a16:creationId xmlns:a16="http://schemas.microsoft.com/office/drawing/2014/main" id="{680CA4F5-B32E-BD82-CD12-04BD9A58B3D4}"/>
            </a:ext>
          </a:extLst>
        </xdr:cNvPr>
        <xdr:cNvSpPr txBox="1"/>
      </xdr:nvSpPr>
      <xdr:spPr>
        <a:xfrm>
          <a:off x="8599802" y="555767"/>
          <a:ext cx="1407309" cy="23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t>Attrition</a:t>
          </a:r>
          <a:endParaRPr lang="en-US" sz="12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7.50362974537" backgroundQuery="1" createdVersion="8" refreshedVersion="8" minRefreshableVersion="3" recordCount="0" supportSubquery="1" supportAdvancedDrill="1" xr:uid="{39A4C17A-BCF4-4C4E-8E6A-6E4A6E985470}">
  <cacheSource type="external" connectionId="6"/>
  <cacheFields count="6">
    <cacheField name="[Measures].[Count of Employee_ID]" caption="Count of Employee_ID" numFmtId="0" hierarchy="34" level="32767"/>
    <cacheField name="[Employees].[Joining_Date].[Joining_Date]" caption="Joining_Date" numFmtId="0" hierarchy="12" level="1">
      <sharedItems containsSemiMixedTypes="0" containsNonDate="0" containsDate="1" containsString="0" minDate="2021-01-02T00:00:00" maxDate="2025-12-28T00:00:00" count="276">
        <d v="2021-01-02T00:00:00"/>
        <d v="2021-01-03T00:00:00"/>
        <d v="2021-01-06T00:00:00"/>
        <d v="2021-02-01T00:00:00"/>
        <d v="2021-02-07T00:00:00"/>
        <d v="2021-02-09T00:00:00"/>
        <d v="2021-02-15T00:00:00"/>
        <d v="2021-02-22T00:00:00"/>
        <d v="2021-02-23T00:00:00"/>
        <d v="2021-02-25T00:00:00"/>
        <d v="2021-02-27T00:00:00"/>
        <d v="2021-02-28T00:00:00"/>
        <d v="2021-03-16T00:00:00"/>
        <d v="2021-03-18T00:00:00"/>
        <d v="2021-03-26T00:00:00"/>
        <d v="2021-04-20T00:00:00"/>
        <d v="2021-04-22T00:00:00"/>
        <d v="2021-05-08T00:00:00"/>
        <d v="2021-05-10T00:00:00"/>
        <d v="2021-05-16T00:00:00"/>
        <d v="2021-05-17T00:00:00"/>
        <d v="2021-06-05T00:00:00"/>
        <d v="2021-06-06T00:00:00"/>
        <d v="2021-06-09T00:00:00"/>
        <d v="2021-06-17T00:00:00"/>
        <d v="2021-06-18T00:00:00"/>
        <d v="2021-06-20T00:00:00"/>
        <d v="2021-06-27T00:00:00"/>
        <d v="2021-07-02T00:00:00"/>
        <d v="2021-07-06T00:00:00"/>
        <d v="2021-07-09T00:00:00"/>
        <d v="2021-07-16T00:00:00"/>
        <d v="2021-08-06T00:00:00"/>
        <d v="2021-08-13T00:00:00"/>
        <d v="2021-08-24T00:00:00"/>
        <d v="2021-08-25T00:00:00"/>
        <d v="2021-09-01T00:00:00"/>
        <d v="2021-09-11T00:00:00"/>
        <d v="2021-09-12T00:00:00"/>
        <d v="2021-09-13T00:00:00"/>
        <d v="2021-09-16T00:00:00"/>
        <d v="2021-09-18T00:00:00"/>
        <d v="2021-09-20T00:00:00"/>
        <d v="2021-09-25T00:00:00"/>
        <d v="2021-10-05T00:00:00"/>
        <d v="2021-10-06T00:00:00"/>
        <d v="2021-10-08T00:00:00"/>
        <d v="2021-10-13T00:00:00"/>
        <d v="2021-10-22T00:00:00"/>
        <d v="2021-10-28T00:00:00"/>
        <d v="2021-11-01T00:00:00"/>
        <d v="2021-11-08T00:00:00"/>
        <d v="2021-11-11T00:00:00"/>
        <d v="2021-11-22T00:00:00"/>
        <d v="2021-12-01T00:00:00"/>
        <d v="2021-12-11T00:00:00"/>
        <d v="2021-12-16T00:00:00"/>
        <d v="2021-12-21T00:00:00"/>
        <d v="2021-12-25T00:00:00"/>
        <d v="2022-01-11T00:00:00"/>
        <d v="2022-01-12T00:00:00"/>
        <d v="2022-01-13T00:00:00"/>
        <d v="2022-01-14T00:00:00"/>
        <d v="2022-01-25T00:00:00"/>
        <d v="2022-02-02T00:00:00"/>
        <d v="2022-02-08T00:00:00"/>
        <d v="2022-02-21T00:00:00"/>
        <d v="2022-02-25T00:00:00"/>
        <d v="2022-03-09T00:00:00"/>
        <d v="2022-03-10T00:00:00"/>
        <d v="2022-03-14T00:00:00"/>
        <d v="2022-03-26T00:00:00"/>
        <d v="2022-04-03T00:00:00"/>
        <d v="2022-04-09T00:00:00"/>
        <d v="2022-04-13T00:00:00"/>
        <d v="2022-04-17T00:00:00"/>
        <d v="2022-04-22T00:00:00"/>
        <d v="2022-04-25T00:00:00"/>
        <d v="2022-05-02T00:00:00"/>
        <d v="2022-05-07T00:00:00"/>
        <d v="2022-06-16T00:00:00"/>
        <d v="2022-06-17T00:00:00"/>
        <d v="2022-07-03T00:00:00"/>
        <d v="2022-07-04T00:00:00"/>
        <d v="2022-07-20T00:00:00"/>
        <d v="2022-07-23T00:00:00"/>
        <d v="2022-07-24T00:00:00"/>
        <d v="2022-07-27T00:00:00"/>
        <d v="2022-08-18T00:00:00"/>
        <d v="2022-08-19T00:00:00"/>
        <d v="2022-08-26T00:00:00"/>
        <d v="2022-08-28T00:00:00"/>
        <d v="2022-09-01T00:00:00"/>
        <d v="2022-09-05T00:00:00"/>
        <d v="2022-09-06T00:00:00"/>
        <d v="2022-09-17T00:00:00"/>
        <d v="2022-10-16T00:00:00"/>
        <d v="2022-11-05T00:00:00"/>
        <d v="2022-11-16T00:00:00"/>
        <d v="2022-11-24T00:00:00"/>
        <d v="2022-11-28T00:00:00"/>
        <d v="2022-12-03T00:00:00"/>
        <d v="2022-12-12T00:00:00"/>
        <d v="2022-12-15T00:00:00"/>
        <d v="2022-12-17T00:00:00"/>
        <d v="2022-12-19T00:00:00"/>
        <d v="2022-12-20T00:00:00"/>
        <d v="2022-12-22T00:00:00"/>
        <d v="2022-12-28T00:00:00"/>
        <d v="2023-01-13T00:00:00"/>
        <d v="2023-01-19T00:00:00"/>
        <d v="2023-01-28T00:00:00"/>
        <d v="2023-02-13T00:00:00"/>
        <d v="2023-02-22T00:00:00"/>
        <d v="2023-02-28T00:00:00"/>
        <d v="2023-03-09T00:00:00"/>
        <d v="2023-03-10T00:00:00"/>
        <d v="2023-03-11T00:00:00"/>
        <d v="2023-03-14T00:00:00"/>
        <d v="2023-03-15T00:00:00"/>
        <d v="2023-03-16T00:00:00"/>
        <d v="2023-03-17T00:00:00"/>
        <d v="2023-03-19T00:00:00"/>
        <d v="2023-03-20T00:00:00"/>
        <d v="2023-03-23T00:00:00"/>
        <d v="2023-04-04T00:00:00"/>
        <d v="2023-04-07T00:00:00"/>
        <d v="2023-04-14T00:00:00"/>
        <d v="2023-04-15T00:00:00"/>
        <d v="2023-04-17T00:00:00"/>
        <d v="2023-05-02T00:00:00"/>
        <d v="2023-05-06T00:00:00"/>
        <d v="2023-05-08T00:00:00"/>
        <d v="2023-05-09T00:00:00"/>
        <d v="2023-05-19T00:00:00"/>
        <d v="2023-05-24T00:00:00"/>
        <d v="2023-05-26T00:00:00"/>
        <d v="2023-06-08T00:00:00"/>
        <d v="2023-06-19T00:00:00"/>
        <d v="2023-06-20T00:00:00"/>
        <d v="2023-07-03T00:00:00"/>
        <d v="2023-07-04T00:00:00"/>
        <d v="2023-07-13T00:00:00"/>
        <d v="2023-07-20T00:00:00"/>
        <d v="2023-07-26T00:00:00"/>
        <d v="2023-08-04T00:00:00"/>
        <d v="2023-08-08T00:00:00"/>
        <d v="2023-08-11T00:00:00"/>
        <d v="2023-08-18T00:00:00"/>
        <d v="2023-08-25T00:00:00"/>
        <d v="2023-08-27T00:00:00"/>
        <d v="2023-09-01T00:00:00"/>
        <d v="2023-09-16T00:00:00"/>
        <d v="2023-09-19T00:00:00"/>
        <d v="2023-09-20T00:00:00"/>
        <d v="2023-09-26T00:00:00"/>
        <d v="2023-10-20T00:00:00"/>
        <d v="2023-10-24T00:00:00"/>
        <d v="2023-10-26T00:00:00"/>
        <d v="2023-11-04T00:00:00"/>
        <d v="2023-11-22T00:00:00"/>
        <d v="2023-11-23T00:00:00"/>
        <d v="2023-11-26T00:00:00"/>
        <d v="2023-11-27T00:00:00"/>
        <d v="2023-12-01T00:00:00"/>
        <d v="2023-12-03T00:00:00"/>
        <d v="2023-12-09T00:00:00"/>
        <d v="2023-12-14T00:00:00"/>
        <d v="2023-12-16T00:00:00"/>
        <d v="2023-12-20T00:00:00"/>
        <d v="2023-12-22T00:00:00"/>
        <d v="2023-12-27T00:00:00"/>
        <d v="2024-01-08T00:00:00"/>
        <d v="2024-01-15T00:00:00"/>
        <d v="2024-02-07T00:00:00"/>
        <d v="2024-02-08T00:00:00"/>
        <d v="2024-02-09T00:00:00"/>
        <d v="2024-02-11T00:00:00"/>
        <d v="2024-02-17T00:00:00"/>
        <d v="2024-02-21T00:00:00"/>
        <d v="2024-02-24T00:00:00"/>
        <d v="2024-02-27T00:00:00"/>
        <d v="2024-03-06T00:00:00"/>
        <d v="2024-03-08T00:00:00"/>
        <d v="2024-03-18T00:00:00"/>
        <d v="2024-04-10T00:00:00"/>
        <d v="2024-04-19T00:00:00"/>
        <d v="2024-04-24T00:00:00"/>
        <d v="2024-04-25T00:00:00"/>
        <d v="2024-05-04T00:00:00"/>
        <d v="2024-05-08T00:00:00"/>
        <d v="2024-06-12T00:00:00"/>
        <d v="2024-06-28T00:00:00"/>
        <d v="2024-07-06T00:00:00"/>
        <d v="2024-07-13T00:00:00"/>
        <d v="2024-07-14T00:00:00"/>
        <d v="2024-07-15T00:00:00"/>
        <d v="2024-07-16T00:00:00"/>
        <d v="2024-07-19T00:00:00"/>
        <d v="2024-08-17T00:00:00"/>
        <d v="2024-08-26T00:00:00"/>
        <d v="2024-08-27T00:00:00"/>
        <d v="2024-08-28T00:00:00"/>
        <d v="2024-09-06T00:00:00"/>
        <d v="2024-09-08T00:00:00"/>
        <d v="2024-09-13T00:00:00"/>
        <d v="2024-09-16T00:00:00"/>
        <d v="2024-09-22T00:00:00"/>
        <d v="2024-09-25T00:00:00"/>
        <d v="2024-09-27T00:00:00"/>
        <d v="2024-10-06T00:00:00"/>
        <d v="2024-11-03T00:00:00"/>
        <d v="2024-11-18T00:00:00"/>
        <d v="2024-12-07T00:00:00"/>
        <d v="2024-12-11T00:00:00"/>
        <d v="2024-12-18T00:00:00"/>
        <d v="2024-12-20T00:00:00"/>
        <d v="2024-12-22T00:00:00"/>
        <d v="2024-12-28T00:00:00"/>
        <d v="2025-01-14T00:00:00"/>
        <d v="2025-01-17T00:00:00"/>
        <d v="2025-01-20T00:00:00"/>
        <d v="2025-02-03T00:00:00"/>
        <d v="2025-02-07T00:00:00"/>
        <d v="2025-02-08T00:00:00"/>
        <d v="2025-02-16T00:00:00"/>
        <d v="2025-02-22T00:00:00"/>
        <d v="2025-03-18T00:00:00"/>
        <d v="2025-03-28T00:00:00"/>
        <d v="2025-04-03T00:00:00"/>
        <d v="2025-04-26T00:00:00"/>
        <d v="2025-05-02T00:00:00"/>
        <d v="2025-05-07T00:00:00"/>
        <d v="2025-05-08T00:00:00"/>
        <d v="2025-05-11T00:00:00"/>
        <d v="2025-05-12T00:00:00"/>
        <d v="2025-05-22T00:00:00"/>
        <d v="2025-05-23T00:00:00"/>
        <d v="2025-06-07T00:00:00"/>
        <d v="2025-06-14T00:00:00"/>
        <d v="2025-06-16T00:00:00"/>
        <d v="2025-06-18T00:00:00"/>
        <d v="2025-06-24T00:00:00"/>
        <d v="2025-06-26T00:00:00"/>
        <d v="2025-07-02T00:00:00"/>
        <d v="2025-07-05T00:00:00"/>
        <d v="2025-07-08T00:00:00"/>
        <d v="2025-07-10T00:00:00"/>
        <d v="2025-07-25T00:00:00"/>
        <d v="2025-08-09T00:00:00"/>
        <d v="2025-08-12T00:00:00"/>
        <d v="2025-08-13T00:00:00"/>
        <d v="2025-09-02T00:00:00"/>
        <d v="2025-09-05T00:00:00"/>
        <d v="2025-09-10T00:00:00"/>
        <d v="2025-09-11T00:00:00"/>
        <d v="2025-09-16T00:00:00"/>
        <d v="2025-09-25T00:00:00"/>
        <d v="2025-09-27T00:00:00"/>
        <d v="2025-10-05T00:00:00"/>
        <d v="2025-10-08T00:00:00"/>
        <d v="2025-10-09T00:00:00"/>
        <d v="2025-10-19T00:00:00"/>
        <d v="2025-10-26T00:00:00"/>
        <d v="2025-11-03T00:00:00"/>
        <d v="2025-11-14T00:00:00"/>
        <d v="2025-11-17T00:00:00"/>
        <d v="2025-11-23T00:00:00"/>
        <d v="2025-12-05T00:00:00"/>
        <d v="2025-12-08T00:00:00"/>
        <d v="2025-12-12T00:00:00"/>
        <d v="2025-12-13T00:00:00"/>
        <d v="2025-12-14T00:00:00"/>
        <d v="2025-12-19T00:00:00"/>
        <d v="2025-12-22T00:00:00"/>
        <d v="2025-12-27T00:00:00"/>
      </sharedItems>
    </cacheField>
    <cacheField name="[Employees].[Joining_Date (Month)].[Joining_Date (Month)]" caption="Joining_Date (Month)" numFmtId="0" hierarchy="22" level="1">
      <sharedItems count="3">
        <s v="Jan"/>
        <s v="Feb"/>
        <s v="Mar"/>
      </sharedItems>
    </cacheField>
    <cacheField name="[Employees].[Joining_Date (Quarter)].[Joining_Date (Quarter)]" caption="Joining_Date (Quarter)" numFmtId="0" hierarchy="21" level="1">
      <sharedItems count="4">
        <s v="Qtr1"/>
        <s v="Qtr2"/>
        <s v="Qtr3"/>
        <s v="Qtr4"/>
      </sharedItems>
    </cacheField>
    <cacheField name="[Employees].[Joining_Date (Year)].[Joining_Date (Year)]" caption="Joining_Date (Year)" numFmtId="0" hierarchy="20" level="1">
      <sharedItems count="5">
        <s v="2021"/>
        <s v="2022"/>
        <s v="2023"/>
        <s v="2024"/>
        <s v="2025"/>
      </sharedItems>
    </cacheField>
    <cacheField name="[Dates].[Month].[Month]" caption="Month" numFmtId="0" hierarchy="3" level="1">
      <sharedItems containsSemiMixedTypes="0" containsNonDate="0" containsString="0"/>
    </cacheField>
  </cacheFields>
  <cacheHierarchies count="4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2" memberValueDatatype="130" unbalanced="0">
      <fieldsUsage count="2">
        <fieldUsage x="-1"/>
        <fieldUsage x="5"/>
      </fieldsUsage>
    </cacheHierarchy>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2" memberValueDatatype="7" unbalanced="0">
      <fieldsUsage count="2">
        <fieldUsage x="-1"/>
        <fieldUsage x="1"/>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0" memberValueDatatype="130" unbalanced="0"/>
    <cacheHierarchy uniqueName="[Employees].[Joining_Date (Year)]" caption="Joining_Date (Year)" attribute="1" defaultMemberUniqueName="[Employees].[Joining_Date (Year)].[All]" allUniqueName="[Employees].[Joining_Date (Year)].[All]" dimensionUniqueName="[Employees]" displayFolder="" count="2" memberValueDatatype="130" unbalanced="0">
      <fieldsUsage count="2">
        <fieldUsage x="-1"/>
        <fieldUsage x="4"/>
      </fieldsUsage>
    </cacheHierarchy>
    <cacheHierarchy uniqueName="[Employees].[Joining_Date (Quarter)]" caption="Joining_Date (Quarter)" attribute="1" defaultMemberUniqueName="[Employees].[Joining_Date (Quarter)].[All]" allUniqueName="[Employees].[Joining_Date (Quarter)].[All]" dimensionUniqueName="[Employees]" displayFolder="" count="2" memberValueDatatype="130" unbalanced="0">
      <fieldsUsage count="2">
        <fieldUsage x="-1"/>
        <fieldUsage x="3"/>
      </fieldsUsage>
    </cacheHierarchy>
    <cacheHierarchy uniqueName="[Employees].[Joining_Date (Month)]" caption="Joining_Date (Month)" attribute="1" defaultMemberUniqueName="[Employees].[Joining_Date (Month)].[All]" allUniqueName="[Employees].[Joining_Date (Month)].[All]" dimensionUniqueName="[Employees]" displayFolder="" count="2" memberValueDatatype="130" unbalanced="0">
      <fieldsUsage count="2">
        <fieldUsage x="-1"/>
        <fieldUsage x="2"/>
      </fieldsUsage>
    </cacheHierarchy>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0" memberValueDatatype="13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5"/>
        </ext>
      </extLst>
    </cacheHierarchy>
    <cacheHierarchy uniqueName="[Measures].[Sum of Experience]" caption="Sum of Experience" measure="1" displayFolder="" measureGroup="Employees" count="0" hidden="1">
      <extLst>
        <ext xmlns:x15="http://schemas.microsoft.com/office/spreadsheetml/2010/11/main" uri="{B97F6D7D-B522-45F9-BDA1-12C45D357490}">
          <x15:cacheHierarchy aggregatedColumn="16"/>
        </ext>
      </extLst>
    </cacheHierarchy>
    <cacheHierarchy uniqueName="[Measures].[Average of Experience]" caption="Average of Experience" measure="1" displayFolder="" measureGroup="Employees" count="0" hidden="1">
      <extLst>
        <ext xmlns:x15="http://schemas.microsoft.com/office/spreadsheetml/2010/11/main" uri="{B97F6D7D-B522-45F9-BDA1-12C45D357490}">
          <x15:cacheHierarchy aggregatedColumn="16"/>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14"/>
        </ext>
      </extLst>
    </cacheHierarchy>
  </cacheHierarchies>
  <kpis count="0"/>
  <dimensions count="6">
    <dimension name="Dates" uniqueName="[Dates]" caption="Dates"/>
    <dimension name="Departmens" uniqueName="[Departmens]" caption="Departmens"/>
    <dimension name="Employees" uniqueName="[Employees]" caption="Employees"/>
    <dimension name="JobRoles" uniqueName="[JobRoles]" caption="JobRoles"/>
    <dimension name="Locations" uniqueName="[Locations]" caption="Locations"/>
    <dimension measure="1" name="Measures" uniqueName="[Measures]" caption="Measures"/>
  </dimensions>
  <measureGroups count="5">
    <measureGroup name="Dates" caption="Dates"/>
    <measureGroup name="Departmens" caption="Departmens"/>
    <measureGroup name="Employees" caption="Employees"/>
    <measureGroup name="JobRoles" caption="JobRoles"/>
    <measureGroup name="Locations" caption="Location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7.503630208332" backgroundQuery="1" createdVersion="8" refreshedVersion="8" minRefreshableVersion="3" recordCount="0" supportSubquery="1" supportAdvancedDrill="1" xr:uid="{C3C49B22-9DAE-4C56-8141-CF24FB96E5C1}">
  <cacheSource type="external" connectionId="6"/>
  <cacheFields count="3">
    <cacheField name="[Departmens].[Department_Name].[Department_Name]" caption="Department_Name" numFmtId="0" hierarchy="7" level="1">
      <sharedItems count="5">
        <s v="Finance"/>
        <s v="Human Resources"/>
        <s v="Information Technology"/>
        <s v="Marketing"/>
        <s v="Sales"/>
      </sharedItems>
    </cacheField>
    <cacheField name="[Measures].[Count of Employee_ID]" caption="Count of Employee_ID" numFmtId="0" hierarchy="34" level="32767"/>
    <cacheField name="[Dates].[Month].[Month]" caption="Month" numFmtId="0" hierarchy="3" level="1">
      <sharedItems containsSemiMixedTypes="0" containsNonDate="0" containsString="0"/>
    </cacheField>
  </cacheFields>
  <cacheHierarchies count="4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2" memberValueDatatype="130" unbalanced="0">
      <fieldsUsage count="2">
        <fieldUsage x="-1"/>
        <fieldUsage x="2"/>
      </fieldsUsage>
    </cacheHierarchy>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2" memberValueDatatype="130" unbalanced="0">
      <fieldsUsage count="2">
        <fieldUsage x="-1"/>
        <fieldUsage x="0"/>
      </fieldsUsage>
    </cacheHierarchy>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0" memberValueDatatype="130" unbalanced="0"/>
    <cacheHierarchy uniqueName="[Employees].[Joining_Date (Year)]" caption="Joining_Date (Year)" attribute="1" defaultMemberUniqueName="[Employees].[Joining_Date (Year)].[All]" allUniqueName="[Employees].[Joining_Date (Year)].[All]" dimensionUniqueName="[Employees]" displayFolder="" count="0" memberValueDatatype="130" unbalanced="0"/>
    <cacheHierarchy uniqueName="[Employees].[Joining_Date (Quarter)]" caption="Joining_Date (Quarter)" attribute="1" defaultMemberUniqueName="[Employees].[Joining_Date (Quarter)].[All]" allUniqueName="[Employees].[Joining_Date (Quarter)].[All]" dimensionUniqueName="[Employees]" displayFolder="" count="0" memberValueDatatype="130" unbalanced="0"/>
    <cacheHierarchy uniqueName="[Employees].[Joining_Date (Month)]" caption="Joining_Date (Month)" attribute="1" defaultMemberUniqueName="[Employees].[Joining_Date (Month)].[All]" allUniqueName="[Employees].[Joining_Date (Month)].[All]" dimensionUniqueName="[Employees]" displayFolder="" count="0" memberValueDatatype="130" unbalanced="0"/>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0" memberValueDatatype="13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5"/>
        </ext>
      </extLst>
    </cacheHierarchy>
    <cacheHierarchy uniqueName="[Measures].[Sum of Experience]" caption="Sum of Experience" measure="1" displayFolder="" measureGroup="Employees" count="0" hidden="1">
      <extLst>
        <ext xmlns:x15="http://schemas.microsoft.com/office/spreadsheetml/2010/11/main" uri="{B97F6D7D-B522-45F9-BDA1-12C45D357490}">
          <x15:cacheHierarchy aggregatedColumn="16"/>
        </ext>
      </extLst>
    </cacheHierarchy>
    <cacheHierarchy uniqueName="[Measures].[Average of Experience]" caption="Average of Experience" measure="1" displayFolder="" measureGroup="Employees" count="0" hidden="1">
      <extLst>
        <ext xmlns:x15="http://schemas.microsoft.com/office/spreadsheetml/2010/11/main" uri="{B97F6D7D-B522-45F9-BDA1-12C45D357490}">
          <x15:cacheHierarchy aggregatedColumn="16"/>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14"/>
        </ext>
      </extLst>
    </cacheHierarchy>
  </cacheHierarchies>
  <kpis count="0"/>
  <dimensions count="6">
    <dimension name="Dates" uniqueName="[Dates]" caption="Dates"/>
    <dimension name="Departmens" uniqueName="[Departmens]" caption="Departmens"/>
    <dimension name="Employees" uniqueName="[Employees]" caption="Employees"/>
    <dimension name="JobRoles" uniqueName="[JobRoles]" caption="JobRoles"/>
    <dimension name="Locations" uniqueName="[Locations]" caption="Locations"/>
    <dimension measure="1" name="Measures" uniqueName="[Measures]" caption="Measures"/>
  </dimensions>
  <measureGroups count="5">
    <measureGroup name="Dates" caption="Dates"/>
    <measureGroup name="Departmens" caption="Departmens"/>
    <measureGroup name="Employees" caption="Employees"/>
    <measureGroup name="JobRoles" caption="JobRoles"/>
    <measureGroup name="Locations" caption="Location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7.503630555555" backgroundQuery="1" createdVersion="8" refreshedVersion="8" minRefreshableVersion="3" recordCount="0" supportSubquery="1" supportAdvancedDrill="1" xr:uid="{F5191AEC-9C81-417D-ABC8-2255C2210A08}">
  <cacheSource type="external" connectionId="6"/>
  <cacheFields count="3">
    <cacheField name="[Departmens].[Department_Name].[Department_Name]" caption="Department_Name" numFmtId="0" hierarchy="7" level="1">
      <sharedItems count="5">
        <s v="Finance"/>
        <s v="Human Resources"/>
        <s v="Information Technology"/>
        <s v="Marketing"/>
        <s v="Sales"/>
      </sharedItems>
    </cacheField>
    <cacheField name="[Measures].[Average of Salary]" caption="Average of Salary" numFmtId="0" hierarchy="36" level="32767"/>
    <cacheField name="[Dates].[Month].[Month]" caption="Month" numFmtId="0" hierarchy="3" level="1">
      <sharedItems containsSemiMixedTypes="0" containsNonDate="0" containsString="0"/>
    </cacheField>
  </cacheFields>
  <cacheHierarchies count="4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2" memberValueDatatype="130" unbalanced="0">
      <fieldsUsage count="2">
        <fieldUsage x="-1"/>
        <fieldUsage x="2"/>
      </fieldsUsage>
    </cacheHierarchy>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2" memberValueDatatype="130" unbalanced="0">
      <fieldsUsage count="2">
        <fieldUsage x="-1"/>
        <fieldUsage x="0"/>
      </fieldsUsage>
    </cacheHierarchy>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0" memberValueDatatype="130" unbalanced="0"/>
    <cacheHierarchy uniqueName="[Employees].[Joining_Date (Year)]" caption="Joining_Date (Year)" attribute="1" defaultMemberUniqueName="[Employees].[Joining_Date (Year)].[All]" allUniqueName="[Employees].[Joining_Date (Year)].[All]" dimensionUniqueName="[Employees]" displayFolder="" count="0" memberValueDatatype="130" unbalanced="0"/>
    <cacheHierarchy uniqueName="[Employees].[Joining_Date (Quarter)]" caption="Joining_Date (Quarter)" attribute="1" defaultMemberUniqueName="[Employees].[Joining_Date (Quarter)].[All]" allUniqueName="[Employees].[Joining_Date (Quarter)].[All]" dimensionUniqueName="[Employees]" displayFolder="" count="0" memberValueDatatype="130" unbalanced="0"/>
    <cacheHierarchy uniqueName="[Employees].[Joining_Date (Month)]" caption="Joining_Date (Month)" attribute="1" defaultMemberUniqueName="[Employees].[Joining_Date (Month)].[All]" allUniqueName="[Employees].[Joining_Date (Month)].[All]" dimensionUniqueName="[Employees]" displayFolder="" count="0" memberValueDatatype="130" unbalanced="0"/>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0" memberValueDatatype="13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Experience]" caption="Sum of Experience" measure="1" displayFolder="" measureGroup="Employees" count="0" hidden="1">
      <extLst>
        <ext xmlns:x15="http://schemas.microsoft.com/office/spreadsheetml/2010/11/main" uri="{B97F6D7D-B522-45F9-BDA1-12C45D357490}">
          <x15:cacheHierarchy aggregatedColumn="16"/>
        </ext>
      </extLst>
    </cacheHierarchy>
    <cacheHierarchy uniqueName="[Measures].[Average of Experience]" caption="Average of Experience" measure="1" displayFolder="" measureGroup="Employees" count="0" hidden="1">
      <extLst>
        <ext xmlns:x15="http://schemas.microsoft.com/office/spreadsheetml/2010/11/main" uri="{B97F6D7D-B522-45F9-BDA1-12C45D357490}">
          <x15:cacheHierarchy aggregatedColumn="16"/>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14"/>
        </ext>
      </extLst>
    </cacheHierarchy>
  </cacheHierarchies>
  <kpis count="0"/>
  <dimensions count="6">
    <dimension name="Dates" uniqueName="[Dates]" caption="Dates"/>
    <dimension name="Departmens" uniqueName="[Departmens]" caption="Departmens"/>
    <dimension name="Employees" uniqueName="[Employees]" caption="Employees"/>
    <dimension name="JobRoles" uniqueName="[JobRoles]" caption="JobRoles"/>
    <dimension name="Locations" uniqueName="[Locations]" caption="Locations"/>
    <dimension measure="1" name="Measures" uniqueName="[Measures]" caption="Measures"/>
  </dimensions>
  <measureGroups count="5">
    <measureGroup name="Dates" caption="Dates"/>
    <measureGroup name="Departmens" caption="Departmens"/>
    <measureGroup name="Employees" caption="Employees"/>
    <measureGroup name="JobRoles" caption="JobRoles"/>
    <measureGroup name="Locations" caption="Location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7.503631250001" backgroundQuery="1" createdVersion="8" refreshedVersion="8" minRefreshableVersion="3" recordCount="0" supportSubquery="1" supportAdvancedDrill="1" xr:uid="{5C1BAF35-6E9B-408F-A15F-8384D24AB0C7}">
  <cacheSource type="external" connectionId="6"/>
  <cacheFields count="3">
    <cacheField name="[Measures].[Count of Employee_ID]" caption="Count of Employee_ID" numFmtId="0" hierarchy="34" level="32767"/>
    <cacheField name="[JobRoles].[Job_Role].[Job_Role]" caption="Job_Role" numFmtId="0" hierarchy="24" level="1">
      <sharedItems count="5">
        <s v="Analyst"/>
        <s v="Executive"/>
        <s v="Manager"/>
        <s v="Senior Executive"/>
        <s v="Team Lead"/>
      </sharedItems>
    </cacheField>
    <cacheField name="[Dates].[Month].[Month]" caption="Month" numFmtId="0" hierarchy="3" level="1">
      <sharedItems containsSemiMixedTypes="0" containsNonDate="0" containsString="0"/>
    </cacheField>
  </cacheFields>
  <cacheHierarchies count="4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2" memberValueDatatype="130" unbalanced="0">
      <fieldsUsage count="2">
        <fieldUsage x="-1"/>
        <fieldUsage x="2"/>
      </fieldsUsage>
    </cacheHierarchy>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0" memberValueDatatype="130" unbalanced="0"/>
    <cacheHierarchy uniqueName="[Employees].[Joining_Date (Year)]" caption="Joining_Date (Year)" attribute="1" defaultMemberUniqueName="[Employees].[Joining_Date (Year)].[All]" allUniqueName="[Employees].[Joining_Date (Year)].[All]" dimensionUniqueName="[Employees]" displayFolder="" count="0" memberValueDatatype="130" unbalanced="0"/>
    <cacheHierarchy uniqueName="[Employees].[Joining_Date (Quarter)]" caption="Joining_Date (Quarter)" attribute="1" defaultMemberUniqueName="[Employees].[Joining_Date (Quarter)].[All]" allUniqueName="[Employees].[Joining_Date (Quarter)].[All]" dimensionUniqueName="[Employees]" displayFolder="" count="0" memberValueDatatype="130" unbalanced="0"/>
    <cacheHierarchy uniqueName="[Employees].[Joining_Date (Month)]" caption="Joining_Date (Month)" attribute="1" defaultMemberUniqueName="[Employees].[Joining_Date (Month)].[All]" allUniqueName="[Employees].[Joining_Date (Month)].[All]" dimensionUniqueName="[Employees]" displayFolder="" count="0" memberValueDatatype="130" unbalanced="0"/>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2" memberValueDatatype="130" unbalanced="0">
      <fieldsUsage count="2">
        <fieldUsage x="-1"/>
        <fieldUsage x="1"/>
      </fieldsUsage>
    </cacheHierarchy>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5"/>
        </ext>
      </extLst>
    </cacheHierarchy>
    <cacheHierarchy uniqueName="[Measures].[Sum of Experience]" caption="Sum of Experience" measure="1" displayFolder="" measureGroup="Employees" count="0" hidden="1">
      <extLst>
        <ext xmlns:x15="http://schemas.microsoft.com/office/spreadsheetml/2010/11/main" uri="{B97F6D7D-B522-45F9-BDA1-12C45D357490}">
          <x15:cacheHierarchy aggregatedColumn="16"/>
        </ext>
      </extLst>
    </cacheHierarchy>
    <cacheHierarchy uniqueName="[Measures].[Average of Experience]" caption="Average of Experience" measure="1" displayFolder="" measureGroup="Employees" count="0" hidden="1">
      <extLst>
        <ext xmlns:x15="http://schemas.microsoft.com/office/spreadsheetml/2010/11/main" uri="{B97F6D7D-B522-45F9-BDA1-12C45D357490}">
          <x15:cacheHierarchy aggregatedColumn="16"/>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14"/>
        </ext>
      </extLst>
    </cacheHierarchy>
  </cacheHierarchies>
  <kpis count="0"/>
  <dimensions count="6">
    <dimension name="Dates" uniqueName="[Dates]" caption="Dates"/>
    <dimension name="Departmens" uniqueName="[Departmens]" caption="Departmens"/>
    <dimension name="Employees" uniqueName="[Employees]" caption="Employees"/>
    <dimension name="JobRoles" uniqueName="[JobRoles]" caption="JobRoles"/>
    <dimension name="Locations" uniqueName="[Locations]" caption="Locations"/>
    <dimension measure="1" name="Measures" uniqueName="[Measures]" caption="Measures"/>
  </dimensions>
  <measureGroups count="5">
    <measureGroup name="Dates" caption="Dates"/>
    <measureGroup name="Departmens" caption="Departmens"/>
    <measureGroup name="Employees" caption="Employees"/>
    <measureGroup name="JobRoles" caption="JobRoles"/>
    <measureGroup name="Locations" caption="Location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7.503631712963" backgroundQuery="1" createdVersion="8" refreshedVersion="8" minRefreshableVersion="3" recordCount="0" supportSubquery="1" supportAdvancedDrill="1" xr:uid="{B306FA2E-40F4-4FCF-A8CE-55B724064A10}">
  <cacheSource type="external" connectionId="6"/>
  <cacheFields count="3">
    <cacheField name="[Measures].[Count of Employee_ID]" caption="Count of Employee_ID" numFmtId="0" hierarchy="34" level="32767"/>
    <cacheField name="[Employees].[Gender].[Gender]" caption="Gender" numFmtId="0" hierarchy="14" level="1">
      <sharedItems count="2">
        <s v="Female"/>
        <s v="Male"/>
      </sharedItems>
    </cacheField>
    <cacheField name="[Dates].[Month].[Month]" caption="Month" numFmtId="0" hierarchy="3" level="1">
      <sharedItems containsSemiMixedTypes="0" containsNonDate="0" containsString="0"/>
    </cacheField>
  </cacheFields>
  <cacheHierarchies count="4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2" memberValueDatatype="130" unbalanced="0">
      <fieldsUsage count="2">
        <fieldUsage x="-1"/>
        <fieldUsage x="2"/>
      </fieldsUsage>
    </cacheHierarchy>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1"/>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0" memberValueDatatype="130" unbalanced="0"/>
    <cacheHierarchy uniqueName="[Employees].[Joining_Date (Year)]" caption="Joining_Date (Year)" attribute="1" defaultMemberUniqueName="[Employees].[Joining_Date (Year)].[All]" allUniqueName="[Employees].[Joining_Date (Year)].[All]" dimensionUniqueName="[Employees]" displayFolder="" count="0" memberValueDatatype="130" unbalanced="0"/>
    <cacheHierarchy uniqueName="[Employees].[Joining_Date (Quarter)]" caption="Joining_Date (Quarter)" attribute="1" defaultMemberUniqueName="[Employees].[Joining_Date (Quarter)].[All]" allUniqueName="[Employees].[Joining_Date (Quarter)].[All]" dimensionUniqueName="[Employees]" displayFolder="" count="0" memberValueDatatype="130" unbalanced="0"/>
    <cacheHierarchy uniqueName="[Employees].[Joining_Date (Month)]" caption="Joining_Date (Month)" attribute="1" defaultMemberUniqueName="[Employees].[Joining_Date (Month)].[All]" allUniqueName="[Employees].[Joining_Date (Month)].[All]" dimensionUniqueName="[Employees]" displayFolder="" count="0" memberValueDatatype="130" unbalanced="0"/>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0" memberValueDatatype="13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5"/>
        </ext>
      </extLst>
    </cacheHierarchy>
    <cacheHierarchy uniqueName="[Measures].[Sum of Experience]" caption="Sum of Experience" measure="1" displayFolder="" measureGroup="Employees" count="0" hidden="1">
      <extLst>
        <ext xmlns:x15="http://schemas.microsoft.com/office/spreadsheetml/2010/11/main" uri="{B97F6D7D-B522-45F9-BDA1-12C45D357490}">
          <x15:cacheHierarchy aggregatedColumn="16"/>
        </ext>
      </extLst>
    </cacheHierarchy>
    <cacheHierarchy uniqueName="[Measures].[Average of Experience]" caption="Average of Experience" measure="1" displayFolder="" measureGroup="Employees" count="0" hidden="1">
      <extLst>
        <ext xmlns:x15="http://schemas.microsoft.com/office/spreadsheetml/2010/11/main" uri="{B97F6D7D-B522-45F9-BDA1-12C45D357490}">
          <x15:cacheHierarchy aggregatedColumn="16"/>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14"/>
        </ext>
      </extLst>
    </cacheHierarchy>
  </cacheHierarchies>
  <kpis count="0"/>
  <dimensions count="6">
    <dimension name="Dates" uniqueName="[Dates]" caption="Dates"/>
    <dimension name="Departmens" uniqueName="[Departmens]" caption="Departmens"/>
    <dimension name="Employees" uniqueName="[Employees]" caption="Employees"/>
    <dimension name="JobRoles" uniqueName="[JobRoles]" caption="JobRoles"/>
    <dimension name="Locations" uniqueName="[Locations]" caption="Locations"/>
    <dimension measure="1" name="Measures" uniqueName="[Measures]" caption="Measures"/>
  </dimensions>
  <measureGroups count="5">
    <measureGroup name="Dates" caption="Dates"/>
    <measureGroup name="Departmens" caption="Departmens"/>
    <measureGroup name="Employees" caption="Employees"/>
    <measureGroup name="JobRoles" caption="JobRoles"/>
    <measureGroup name="Locations" caption="Location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7.503632060187" backgroundQuery="1" createdVersion="8" refreshedVersion="8" minRefreshableVersion="3" recordCount="0" supportSubquery="1" supportAdvancedDrill="1" xr:uid="{4F4E8209-195D-4380-BA6C-AADA811BC7A0}">
  <cacheSource type="external" connectionId="6"/>
  <cacheFields count="3">
    <cacheField name="[Measures].[Count of Employee_ID]" caption="Count of Employee_ID" numFmtId="0" hierarchy="34" level="32767"/>
    <cacheField name="[Locations].[City].[City]" caption="City" numFmtId="0" hierarchy="26" level="1">
      <sharedItems count="5">
        <s v="Bangalore"/>
        <s v="Chennai"/>
        <s v="Hyderabad"/>
        <s v="Kolkata"/>
        <s v="Pune"/>
      </sharedItems>
    </cacheField>
    <cacheField name="[Dates].[Month].[Month]" caption="Month" numFmtId="0" hierarchy="3" level="1">
      <sharedItems containsSemiMixedTypes="0" containsNonDate="0" containsString="0"/>
    </cacheField>
  </cacheFields>
  <cacheHierarchies count="4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2" memberValueDatatype="130" unbalanced="0">
      <fieldsUsage count="2">
        <fieldUsage x="-1"/>
        <fieldUsage x="2"/>
      </fieldsUsage>
    </cacheHierarchy>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0" memberValueDatatype="130" unbalanced="0"/>
    <cacheHierarchy uniqueName="[Employees].[Joining_Date (Year)]" caption="Joining_Date (Year)" attribute="1" defaultMemberUniqueName="[Employees].[Joining_Date (Year)].[All]" allUniqueName="[Employees].[Joining_Date (Year)].[All]" dimensionUniqueName="[Employees]" displayFolder="" count="0" memberValueDatatype="130" unbalanced="0"/>
    <cacheHierarchy uniqueName="[Employees].[Joining_Date (Quarter)]" caption="Joining_Date (Quarter)" attribute="1" defaultMemberUniqueName="[Employees].[Joining_Date (Quarter)].[All]" allUniqueName="[Employees].[Joining_Date (Quarter)].[All]" dimensionUniqueName="[Employees]" displayFolder="" count="0" memberValueDatatype="130" unbalanced="0"/>
    <cacheHierarchy uniqueName="[Employees].[Joining_Date (Month)]" caption="Joining_Date (Month)" attribute="1" defaultMemberUniqueName="[Employees].[Joining_Date (Month)].[All]" allUniqueName="[Employees].[Joining_Date (Month)].[All]" dimensionUniqueName="[Employees]" displayFolder="" count="0" memberValueDatatype="130" unbalanced="0"/>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0" memberValueDatatype="13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2" memberValueDatatype="130" unbalanced="0">
      <fieldsUsage count="2">
        <fieldUsage x="-1"/>
        <fieldUsage x="1"/>
      </fieldsUsage>
    </cacheHierarchy>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5"/>
        </ext>
      </extLst>
    </cacheHierarchy>
    <cacheHierarchy uniqueName="[Measures].[Sum of Experience]" caption="Sum of Experience" measure="1" displayFolder="" measureGroup="Employees" count="0" hidden="1">
      <extLst>
        <ext xmlns:x15="http://schemas.microsoft.com/office/spreadsheetml/2010/11/main" uri="{B97F6D7D-B522-45F9-BDA1-12C45D357490}">
          <x15:cacheHierarchy aggregatedColumn="16"/>
        </ext>
      </extLst>
    </cacheHierarchy>
    <cacheHierarchy uniqueName="[Measures].[Average of Experience]" caption="Average of Experience" measure="1" displayFolder="" measureGroup="Employees" count="0" hidden="1">
      <extLst>
        <ext xmlns:x15="http://schemas.microsoft.com/office/spreadsheetml/2010/11/main" uri="{B97F6D7D-B522-45F9-BDA1-12C45D357490}">
          <x15:cacheHierarchy aggregatedColumn="16"/>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14"/>
        </ext>
      </extLst>
    </cacheHierarchy>
  </cacheHierarchies>
  <kpis count="0"/>
  <dimensions count="6">
    <dimension name="Dates" uniqueName="[Dates]" caption="Dates"/>
    <dimension name="Departmens" uniqueName="[Departmens]" caption="Departmens"/>
    <dimension name="Employees" uniqueName="[Employees]" caption="Employees"/>
    <dimension name="JobRoles" uniqueName="[JobRoles]" caption="JobRoles"/>
    <dimension name="Locations" uniqueName="[Locations]" caption="Locations"/>
    <dimension measure="1" name="Measures" uniqueName="[Measures]" caption="Measures"/>
  </dimensions>
  <measureGroups count="5">
    <measureGroup name="Dates" caption="Dates"/>
    <measureGroup name="Departmens" caption="Departmens"/>
    <measureGroup name="Employees" caption="Employees"/>
    <measureGroup name="JobRoles" caption="JobRoles"/>
    <measureGroup name="Locations" caption="Location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7.503632291664" backgroundQuery="1" createdVersion="8" refreshedVersion="8" minRefreshableVersion="3" recordCount="0" supportSubquery="1" supportAdvancedDrill="1" xr:uid="{8C323BA2-1324-4DB2-A0E3-61A7C56FAFB5}">
  <cacheSource type="external" connectionId="6"/>
  <cacheFields count="2">
    <cacheField name="[Measures].[Count of Employee_ID]" caption="Count of Employee_ID" numFmtId="0" hierarchy="34" level="32767"/>
    <cacheField name="[Dates].[Month].[Month]" caption="Month" numFmtId="0" hierarchy="3" level="1">
      <sharedItems containsSemiMixedTypes="0" containsNonDate="0" containsString="0"/>
    </cacheField>
  </cacheFields>
  <cacheHierarchies count="4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2" memberValueDatatype="130" unbalanced="0">
      <fieldsUsage count="2">
        <fieldUsage x="-1"/>
        <fieldUsage x="1"/>
      </fieldsUsage>
    </cacheHierarchy>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0" memberValueDatatype="130" unbalanced="0"/>
    <cacheHierarchy uniqueName="[Employees].[Joining_Date (Year)]" caption="Joining_Date (Year)" attribute="1" defaultMemberUniqueName="[Employees].[Joining_Date (Year)].[All]" allUniqueName="[Employees].[Joining_Date (Year)].[All]" dimensionUniqueName="[Employees]" displayFolder="" count="0" memberValueDatatype="130" unbalanced="0"/>
    <cacheHierarchy uniqueName="[Employees].[Joining_Date (Quarter)]" caption="Joining_Date (Quarter)" attribute="1" defaultMemberUniqueName="[Employees].[Joining_Date (Quarter)].[All]" allUniqueName="[Employees].[Joining_Date (Quarter)].[All]" dimensionUniqueName="[Employees]" displayFolder="" count="0" memberValueDatatype="130" unbalanced="0"/>
    <cacheHierarchy uniqueName="[Employees].[Joining_Date (Month)]" caption="Joining_Date (Month)" attribute="1" defaultMemberUniqueName="[Employees].[Joining_Date (Month)].[All]" allUniqueName="[Employees].[Joining_Date (Month)].[All]" dimensionUniqueName="[Employees]" displayFolder="" count="0" memberValueDatatype="130" unbalanced="0"/>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0" memberValueDatatype="13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5"/>
        </ext>
      </extLst>
    </cacheHierarchy>
    <cacheHierarchy uniqueName="[Measures].[Sum of Experience]" caption="Sum of Experience" measure="1" displayFolder="" measureGroup="Employees" count="0" hidden="1">
      <extLst>
        <ext xmlns:x15="http://schemas.microsoft.com/office/spreadsheetml/2010/11/main" uri="{B97F6D7D-B522-45F9-BDA1-12C45D357490}">
          <x15:cacheHierarchy aggregatedColumn="16"/>
        </ext>
      </extLst>
    </cacheHierarchy>
    <cacheHierarchy uniqueName="[Measures].[Average of Experience]" caption="Average of Experience" measure="1" displayFolder="" measureGroup="Employees" count="0" hidden="1">
      <extLst>
        <ext xmlns:x15="http://schemas.microsoft.com/office/spreadsheetml/2010/11/main" uri="{B97F6D7D-B522-45F9-BDA1-12C45D357490}">
          <x15:cacheHierarchy aggregatedColumn="16"/>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14"/>
        </ext>
      </extLst>
    </cacheHierarchy>
  </cacheHierarchies>
  <kpis count="0"/>
  <dimensions count="6">
    <dimension name="Dates" uniqueName="[Dates]" caption="Dates"/>
    <dimension name="Departmens" uniqueName="[Departmens]" caption="Departmens"/>
    <dimension name="Employees" uniqueName="[Employees]" caption="Employees"/>
    <dimension name="JobRoles" uniqueName="[JobRoles]" caption="JobRoles"/>
    <dimension name="Locations" uniqueName="[Locations]" caption="Locations"/>
    <dimension measure="1" name="Measures" uniqueName="[Measures]" caption="Measures"/>
  </dimensions>
  <measureGroups count="5">
    <measureGroup name="Dates" caption="Dates"/>
    <measureGroup name="Departmens" caption="Departmens"/>
    <measureGroup name="Employees" caption="Employees"/>
    <measureGroup name="JobRoles" caption="JobRoles"/>
    <measureGroup name="Locations" caption="Location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7.503632638887" backgroundQuery="1" createdVersion="8" refreshedVersion="8" minRefreshableVersion="3" recordCount="0" supportSubquery="1" supportAdvancedDrill="1" xr:uid="{FA4EF70A-5FF1-42AF-8A4B-041058ACC65D}">
  <cacheSource type="external" connectionId="6"/>
  <cacheFields count="2">
    <cacheField name="[Dates].[Month].[Month]" caption="Month" numFmtId="0" hierarchy="3" level="1">
      <sharedItems containsSemiMixedTypes="0" containsNonDate="0" containsString="0"/>
    </cacheField>
    <cacheField name="[Measures].[Average of Salary]" caption="Average of Salary" numFmtId="0" hierarchy="36" level="32767"/>
  </cacheFields>
  <cacheHierarchies count="4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2" memberValueDatatype="130" unbalanced="0">
      <fieldsUsage count="2">
        <fieldUsage x="-1"/>
        <fieldUsage x="0"/>
      </fieldsUsage>
    </cacheHierarchy>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0" memberValueDatatype="130" unbalanced="0"/>
    <cacheHierarchy uniqueName="[Employees].[Joining_Date (Year)]" caption="Joining_Date (Year)" attribute="1" defaultMemberUniqueName="[Employees].[Joining_Date (Year)].[All]" allUniqueName="[Employees].[Joining_Date (Year)].[All]" dimensionUniqueName="[Employees]" displayFolder="" count="0" memberValueDatatype="130" unbalanced="0"/>
    <cacheHierarchy uniqueName="[Employees].[Joining_Date (Quarter)]" caption="Joining_Date (Quarter)" attribute="1" defaultMemberUniqueName="[Employees].[Joining_Date (Quarter)].[All]" allUniqueName="[Employees].[Joining_Date (Quarter)].[All]" dimensionUniqueName="[Employees]" displayFolder="" count="0" memberValueDatatype="130" unbalanced="0"/>
    <cacheHierarchy uniqueName="[Employees].[Joining_Date (Month)]" caption="Joining_Date (Month)" attribute="1" defaultMemberUniqueName="[Employees].[Joining_Date (Month)].[All]" allUniqueName="[Employees].[Joining_Date (Month)].[All]" dimensionUniqueName="[Employees]" displayFolder="" count="0" memberValueDatatype="130" unbalanced="0"/>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0" memberValueDatatype="13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Experience]" caption="Sum of Experience" measure="1" displayFolder="" measureGroup="Employees" count="0" hidden="1">
      <extLst>
        <ext xmlns:x15="http://schemas.microsoft.com/office/spreadsheetml/2010/11/main" uri="{B97F6D7D-B522-45F9-BDA1-12C45D357490}">
          <x15:cacheHierarchy aggregatedColumn="16"/>
        </ext>
      </extLst>
    </cacheHierarchy>
    <cacheHierarchy uniqueName="[Measures].[Average of Experience]" caption="Average of Experience" measure="1" displayFolder="" measureGroup="Employees" count="0" hidden="1">
      <extLst>
        <ext xmlns:x15="http://schemas.microsoft.com/office/spreadsheetml/2010/11/main" uri="{B97F6D7D-B522-45F9-BDA1-12C45D357490}">
          <x15:cacheHierarchy aggregatedColumn="16"/>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14"/>
        </ext>
      </extLst>
    </cacheHierarchy>
  </cacheHierarchies>
  <kpis count="0"/>
  <dimensions count="6">
    <dimension name="Dates" uniqueName="[Dates]" caption="Dates"/>
    <dimension name="Departmens" uniqueName="[Departmens]" caption="Departmens"/>
    <dimension name="Employees" uniqueName="[Employees]" caption="Employees"/>
    <dimension name="JobRoles" uniqueName="[JobRoles]" caption="JobRoles"/>
    <dimension name="Locations" uniqueName="[Locations]" caption="Locations"/>
    <dimension measure="1" name="Measures" uniqueName="[Measures]" caption="Measures"/>
  </dimensions>
  <measureGroups count="5">
    <measureGroup name="Dates" caption="Dates"/>
    <measureGroup name="Departmens" caption="Departmens"/>
    <measureGroup name="Employees" caption="Employees"/>
    <measureGroup name="JobRoles" caption="JobRoles"/>
    <measureGroup name="Locations" caption="Location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7.503633217595" backgroundQuery="1" createdVersion="8" refreshedVersion="8" minRefreshableVersion="3" recordCount="0" supportSubquery="1" supportAdvancedDrill="1" xr:uid="{5979071E-820B-4A24-93EA-08276EDF2846}">
  <cacheSource type="external" connectionId="6"/>
  <cacheFields count="3">
    <cacheField name="[Dates].[Month].[Month]" caption="Month" numFmtId="0" hierarchy="3" level="1">
      <sharedItems containsSemiMixedTypes="0" containsNonDate="0" containsString="0"/>
    </cacheField>
    <cacheField name="[Employees].[Gender].[Gender]" caption="Gender" numFmtId="0" hierarchy="14" level="1">
      <sharedItems count="2">
        <s v="Female"/>
        <s v="Male"/>
      </sharedItems>
    </cacheField>
    <cacheField name="[Measures].[Count of Employee_ID]" caption="Count of Employee_ID" numFmtId="0" hierarchy="34" level="32767"/>
  </cacheFields>
  <cacheHierarchies count="4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2" memberValueDatatype="130" unbalanced="0">
      <fieldsUsage count="2">
        <fieldUsage x="-1"/>
        <fieldUsage x="0"/>
      </fieldsUsage>
    </cacheHierarchy>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1"/>
      </fieldsUsage>
    </cacheHierarchy>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0" memberValueDatatype="130" unbalanced="0"/>
    <cacheHierarchy uniqueName="[Employees].[Joining_Date (Year)]" caption="Joining_Date (Year)" attribute="1" defaultMemberUniqueName="[Employees].[Joining_Date (Year)].[All]" allUniqueName="[Employees].[Joining_Date (Year)].[All]" dimensionUniqueName="[Employees]" displayFolder="" count="0" memberValueDatatype="130" unbalanced="0"/>
    <cacheHierarchy uniqueName="[Employees].[Joining_Date (Quarter)]" caption="Joining_Date (Quarter)" attribute="1" defaultMemberUniqueName="[Employees].[Joining_Date (Quarter)].[All]" allUniqueName="[Employees].[Joining_Date (Quarter)].[All]" dimensionUniqueName="[Employees]" displayFolder="" count="0" memberValueDatatype="130" unbalanced="0"/>
    <cacheHierarchy uniqueName="[Employees].[Joining_Date (Month)]" caption="Joining_Date (Month)" attribute="1" defaultMemberUniqueName="[Employees].[Joining_Date (Month)].[All]" allUniqueName="[Employees].[Joining_Date (Month)].[All]" dimensionUniqueName="[Employees]" displayFolder="" count="0" memberValueDatatype="130" unbalanced="0"/>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0" memberValueDatatype="13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5"/>
        </ext>
      </extLst>
    </cacheHierarchy>
    <cacheHierarchy uniqueName="[Measures].[Sum of Experience]" caption="Sum of Experience" measure="1" displayFolder="" measureGroup="Employees" count="0" hidden="1">
      <extLst>
        <ext xmlns:x15="http://schemas.microsoft.com/office/spreadsheetml/2010/11/main" uri="{B97F6D7D-B522-45F9-BDA1-12C45D357490}">
          <x15:cacheHierarchy aggregatedColumn="16"/>
        </ext>
      </extLst>
    </cacheHierarchy>
    <cacheHierarchy uniqueName="[Measures].[Average of Experience]" caption="Average of Experience" measure="1" displayFolder="" measureGroup="Employees" count="0" hidden="1">
      <extLst>
        <ext xmlns:x15="http://schemas.microsoft.com/office/spreadsheetml/2010/11/main" uri="{B97F6D7D-B522-45F9-BDA1-12C45D357490}">
          <x15:cacheHierarchy aggregatedColumn="16"/>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14"/>
        </ext>
      </extLst>
    </cacheHierarchy>
  </cacheHierarchies>
  <kpis count="0"/>
  <dimensions count="6">
    <dimension name="Dates" uniqueName="[Dates]" caption="Dates"/>
    <dimension name="Departmens" uniqueName="[Departmens]" caption="Departmens"/>
    <dimension name="Employees" uniqueName="[Employees]" caption="Employees"/>
    <dimension name="JobRoles" uniqueName="[JobRoles]" caption="JobRoles"/>
    <dimension name="Locations" uniqueName="[Locations]" caption="Locations"/>
    <dimension measure="1" name="Measures" uniqueName="[Measures]" caption="Measures"/>
  </dimensions>
  <measureGroups count="5">
    <measureGroup name="Dates" caption="Dates"/>
    <measureGroup name="Departmens" caption="Departmens"/>
    <measureGroup name="Employees" caption="Employees"/>
    <measureGroup name="JobRoles" caption="JobRoles"/>
    <measureGroup name="Locations" caption="Location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7.503633796296" backgroundQuery="1" createdVersion="8" refreshedVersion="8" minRefreshableVersion="3" recordCount="0" supportSubquery="1" supportAdvancedDrill="1" xr:uid="{7140443E-4715-4C7B-A3C6-CA9E67EBDDA6}">
  <cacheSource type="external" connectionId="6"/>
  <cacheFields count="3">
    <cacheField name="[Employees].[Attrition].[Attrition]" caption="Attrition" numFmtId="0" hierarchy="19" level="1">
      <sharedItems count="2">
        <s v="NO"/>
        <s v="YES"/>
      </sharedItems>
    </cacheField>
    <cacheField name="[Measures].[Count of Employee_ID]" caption="Count of Employee_ID" numFmtId="0" hierarchy="34" level="32767"/>
    <cacheField name="[Dates].[Month].[Month]" caption="Month" numFmtId="0" hierarchy="3" level="1">
      <sharedItems containsSemiMixedTypes="0" containsNonDate="0" containsString="0"/>
    </cacheField>
  </cacheFields>
  <cacheHierarchies count="40">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2" memberValueDatatype="130" unbalanced="0">
      <fieldsUsage count="2">
        <fieldUsage x="-1"/>
        <fieldUsage x="2"/>
      </fieldsUsage>
    </cacheHierarchy>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Joining_Date (Year)]" caption="Joining_Date (Year)" attribute="1" defaultMemberUniqueName="[Employees].[Joining_Date (Year)].[All]" allUniqueName="[Employees].[Joining_Date (Year)].[All]" dimensionUniqueName="[Employees]" displayFolder="" count="0" memberValueDatatype="130" unbalanced="0"/>
    <cacheHierarchy uniqueName="[Employees].[Joining_Date (Quarter)]" caption="Joining_Date (Quarter)" attribute="1" defaultMemberUniqueName="[Employees].[Joining_Date (Quarter)].[All]" allUniqueName="[Employees].[Joining_Date (Quarter)].[All]" dimensionUniqueName="[Employees]" displayFolder="" count="0" memberValueDatatype="130" unbalanced="0"/>
    <cacheHierarchy uniqueName="[Employees].[Joining_Date (Month)]" caption="Joining_Date (Month)" attribute="1" defaultMemberUniqueName="[Employees].[Joining_Date (Month)].[All]" allUniqueName="[Employees].[Joining_Date (Month)].[All]" dimensionUniqueName="[Employees]" displayFolder="" count="0" memberValueDatatype="130" unbalanced="0"/>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0" memberValueDatatype="13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5"/>
        </ext>
      </extLst>
    </cacheHierarchy>
    <cacheHierarchy uniqueName="[Measures].[Sum of Experience]" caption="Sum of Experience" measure="1" displayFolder="" measureGroup="Employees" count="0" hidden="1">
      <extLst>
        <ext xmlns:x15="http://schemas.microsoft.com/office/spreadsheetml/2010/11/main" uri="{B97F6D7D-B522-45F9-BDA1-12C45D357490}">
          <x15:cacheHierarchy aggregatedColumn="16"/>
        </ext>
      </extLst>
    </cacheHierarchy>
    <cacheHierarchy uniqueName="[Measures].[Average of Experience]" caption="Average of Experience" measure="1" displayFolder="" measureGroup="Employees" count="0" hidden="1">
      <extLst>
        <ext xmlns:x15="http://schemas.microsoft.com/office/spreadsheetml/2010/11/main" uri="{B97F6D7D-B522-45F9-BDA1-12C45D357490}">
          <x15:cacheHierarchy aggregatedColumn="16"/>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14"/>
        </ext>
      </extLst>
    </cacheHierarchy>
  </cacheHierarchies>
  <kpis count="0"/>
  <dimensions count="6">
    <dimension name="Dates" uniqueName="[Dates]" caption="Dates"/>
    <dimension name="Departmens" uniqueName="[Departmens]" caption="Departmens"/>
    <dimension name="Employees" uniqueName="[Employees]" caption="Employees"/>
    <dimension name="JobRoles" uniqueName="[JobRoles]" caption="JobRoles"/>
    <dimension name="Locations" uniqueName="[Locations]" caption="Locations"/>
    <dimension measure="1" name="Measures" uniqueName="[Measures]" caption="Measures"/>
  </dimensions>
  <measureGroups count="5">
    <measureGroup name="Dates" caption="Dates"/>
    <measureGroup name="Departmens" caption="Departmens"/>
    <measureGroup name="Employees" caption="Employees"/>
    <measureGroup name="JobRoles" caption="JobRoles"/>
    <measureGroup name="Locations" caption="Locations"/>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6.465514351854" backgroundQuery="1" createdVersion="3" refreshedVersion="8" minRefreshableVersion="3" recordCount="0" supportSubquery="1" supportAdvancedDrill="1" xr:uid="{DE2E78DB-2544-4E80-AC7E-A58CFA961248}">
  <cacheSource type="external" connectionId="6">
    <extLst>
      <ext xmlns:x14="http://schemas.microsoft.com/office/spreadsheetml/2009/9/main" uri="{F057638F-6D5F-4e77-A914-E7F072B9BCA8}">
        <x14:sourceConnection name="ThisWorkbookDataModel"/>
      </ext>
    </extLst>
  </cacheSource>
  <cacheFields count="0"/>
  <cacheHierarchies count="37">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2"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0" memberValueDatatype="130" unbalanced="0"/>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0" memberValueDatatype="130" unbalanced="0"/>
    <cacheHierarchy uniqueName="[Employees].[Joining_Date (Year)]" caption="Joining_Date (Year)" attribute="1" defaultMemberUniqueName="[Employees].[Joining_Date (Year)].[All]" allUniqueName="[Employees].[Joining_Date (Year)].[All]" dimensionUniqueName="[Employees]" displayFolder="" count="0" memberValueDatatype="130" unbalanced="0"/>
    <cacheHierarchy uniqueName="[Employees].[Joining_Date (Quarter)]" caption="Joining_Date (Quarter)" attribute="1" defaultMemberUniqueName="[Employees].[Joining_Date (Quarter)].[All]" allUniqueName="[Employees].[Joining_Date (Quarter)].[All]" dimensionUniqueName="[Employees]" displayFolder="" count="0" memberValueDatatype="130" unbalanced="0"/>
    <cacheHierarchy uniqueName="[Employees].[Joining_Date (Month)]" caption="Joining_Date (Month)" attribute="1" defaultMemberUniqueName="[Employees].[Joining_Date (Month)].[All]" allUniqueName="[Employees].[Joining_Date (Month)].[All]" dimensionUniqueName="[Employees]" displayFolder="" count="0" memberValueDatatype="130" unbalanced="0"/>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0" memberValueDatatype="13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6703455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refreshedDate="46176.46571365741" backgroundQuery="1" createdVersion="3" refreshedVersion="8" minRefreshableVersion="3" recordCount="0" supportSubquery="1" supportAdvancedDrill="1" xr:uid="{5CC10631-EC9C-4FAA-B3DD-B62E840B7F0A}">
  <cacheSource type="external" connectionId="6">
    <extLst>
      <ext xmlns:x14="http://schemas.microsoft.com/office/spreadsheetml/2009/9/main" uri="{F057638F-6D5F-4e77-A914-E7F072B9BCA8}">
        <x14:sourceConnection name="ThisWorkbookDataModel"/>
      </ext>
    </extLst>
  </cacheSource>
  <cacheFields count="0"/>
  <cacheHierarchies count="37">
    <cacheHierarchy uniqueName="[Dates].[Date]" caption="Date" attribute="1" time="1" defaultMemberUniqueName="[Dates].[Date].[All]" allUniqueName="[Dates].[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Quarter]" caption="Quarter" attribute="1" defaultMemberUniqueName="[Dates].[Quarter].[All]" allUniqueName="[Dates].[Quarter].[All]" dimensionUniqueName="[Dates]" displayFolder="" count="0" memberValueDatatype="130" unbalanced="0"/>
    <cacheHierarchy uniqueName="[Dates].[Month]" caption="Month" attribute="1" defaultMemberUniqueName="[Dates].[Month].[All]" allUniqueName="[Dates].[Month].[All]" dimensionUniqueName="[Dates]" displayFolder="" count="2" memberValueDatatype="130" unbalanced="0"/>
    <cacheHierarchy uniqueName="[Dates].[Month_Number]" caption="Month_Number" attribute="1" defaultMemberUniqueName="[Dates].[Month_Number].[All]" allUniqueName="[Dates].[Month_Number].[All]" dimensionUniqueName="[Dates]" displayFolder="" count="0" memberValueDatatype="20" unbalanced="0"/>
    <cacheHierarchy uniqueName="[Dates].[Day]" caption="Day" attribute="1" defaultMemberUniqueName="[Dates].[Day].[All]" allUniqueName="[Dates].[Day].[All]" dimensionUniqueName="[Dates]" displayFolder="" count="0" memberValueDatatype="130" unbalanced="0"/>
    <cacheHierarchy uniqueName="[Departmens].[Department_ID]" caption="Department_ID" attribute="1" defaultMemberUniqueName="[Departmens].[Department_ID].[All]" allUniqueName="[Departmens].[Department_ID].[All]" dimensionUniqueName="[Departmens]" displayFolder="" count="0" memberValueDatatype="130" unbalanced="0"/>
    <cacheHierarchy uniqueName="[Departmens].[Department_Name]" caption="Department_Name" attribute="1" defaultMemberUniqueName="[Departmens].[Department_Name].[All]" allUniqueName="[Departmens].[Department_Name].[All]" dimensionUniqueName="[Departmen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130" unbalanced="0"/>
    <cacheHierarchy uniqueName="[Employees].[Job_Role_ID]" caption="Job_Role_ID" attribute="1" defaultMemberUniqueName="[Employees].[Job_Role_ID].[All]" allUniqueName="[Employees].[Job_Role_ID].[All]" dimensionUniqueName="[Employees]" displayFolder="" count="0" memberValueDatatype="130" unbalanced="0"/>
    <cacheHierarchy uniqueName="[Employees].[Location_ID]" caption="Location_ID" attribute="1" defaultMemberUniqueName="[Employees].[Location_ID].[All]" allUniqueName="[Employees].[Location_ID].[All]" dimensionUniqueName="[Employees]" displayFolder="" count="0" memberValueDatatype="13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Experience]" caption="Experience" attribute="1" defaultMemberUniqueName="[Employees].[Experience].[All]" allUniqueName="[Employees].[Experience].[All]" dimensionUniqueName="[Employees]" displayFolder="" count="0" memberValueDatatype="20" unbalanced="0"/>
    <cacheHierarchy uniqueName="[Employees].[Overtime]" caption="Overtime" attribute="1" defaultMemberUniqueName="[Employees].[Overtime].[All]" allUniqueName="[Employees].[Overtime].[All]" dimensionUniqueName="[Employees]" displayFolder="" count="0" memberValueDatatype="130" unbalanced="0"/>
    <cacheHierarchy uniqueName="[Employees].[Job_Satisfaction]" caption="Job_Satisfaction" attribute="1" defaultMemberUniqueName="[Employees].[Job_Satisfaction].[All]" allUniqueName="[Employees].[Job_Satisfaction].[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0" memberValueDatatype="130" unbalanced="0"/>
    <cacheHierarchy uniqueName="[Employees].[Joining_Date (Year)]" caption="Joining_Date (Year)" attribute="1" defaultMemberUniqueName="[Employees].[Joining_Date (Year)].[All]" allUniqueName="[Employees].[Joining_Date (Year)].[All]" dimensionUniqueName="[Employees]" displayFolder="" count="0" memberValueDatatype="130" unbalanced="0"/>
    <cacheHierarchy uniqueName="[Employees].[Joining_Date (Quarter)]" caption="Joining_Date (Quarter)" attribute="1" defaultMemberUniqueName="[Employees].[Joining_Date (Quarter)].[All]" allUniqueName="[Employees].[Joining_Date (Quarter)].[All]" dimensionUniqueName="[Employees]" displayFolder="" count="0" memberValueDatatype="130" unbalanced="0"/>
    <cacheHierarchy uniqueName="[Employees].[Joining_Date (Month)]" caption="Joining_Date (Month)" attribute="1" defaultMemberUniqueName="[Employees].[Joining_Date (Month)].[All]" allUniqueName="[Employees].[Joining_Date (Month)].[All]" dimensionUniqueName="[Employees]" displayFolder="" count="0" memberValueDatatype="130" unbalanced="0"/>
    <cacheHierarchy uniqueName="[JobRoles].[JobRole_ID]" caption="JobRole_ID" attribute="1" defaultMemberUniqueName="[JobRoles].[JobRole_ID].[All]" allUniqueName="[JobRoles].[JobRole_ID].[All]" dimensionUniqueName="[JobRoles]" displayFolder="" count="0" memberValueDatatype="130" unbalanced="0"/>
    <cacheHierarchy uniqueName="[JobRoles].[Job_Role]" caption="Job_Role" attribute="1" defaultMemberUniqueName="[JobRoles].[Job_Role].[All]" allUniqueName="[JobRoles].[Job_Role].[All]" dimensionUniqueName="[JobRoles]" displayFolder="" count="0" memberValueDatatype="13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Employees].[Joining_Date (Month Index)]" caption="Joining_Date (Month Index)" attribute="1" defaultMemberUniqueName="[Employees].[Joining_Date (Month Index)].[All]" allUniqueName="[Employees].[Joining_Date (Month Index)].[All]" dimensionUniqueName="[Employees]" displayFolder="" count="0" memberValueDatatype="20" unbalanced="0" hidden="1"/>
    <cacheHierarchy uniqueName="[Measures].[__XL_Count Dates]" caption="__XL_Count Dates" measure="1" displayFolder="" measureGroup="Dates" count="0" hidden="1"/>
    <cacheHierarchy uniqueName="[Measures].[__XL_Count Departmens]" caption="__XL_Count Departmens" measure="1" displayFolder="" measureGroup="Departmens" count="0" hidden="1"/>
    <cacheHierarchy uniqueName="[Measures].[__XL_Count Employees]" caption="__XL_Count Employees" measure="1" displayFolder="" measureGroup="Employees" count="0" hidden="1"/>
    <cacheHierarchy uniqueName="[Measures].[__XL_Count JobRoles]" caption="__XL_Count JobRoles" measure="1" displayFolder="" measureGroup="JobRoles" count="0" hidden="1"/>
    <cacheHierarchy uniqueName="[Measures].[__XL_Count Locations]" caption="__XL_Count Locations" measure="1" displayFolder="" measureGroup="Locations" count="0" hidden="1"/>
    <cacheHierarchy uniqueName="[Measures].[__No measures defined]" caption="__No measures defined" measure="1" displayFolder="" count="0" hidden="1"/>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8"/>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15"/>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1286737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14A8B8-F305-440E-ABCE-515BA0873C04}" name="PivotTable10" cacheId="308" applyNumberFormats="0" applyBorderFormats="0" applyFontFormats="0" applyPatternFormats="0" applyAlignmentFormats="0" applyWidthHeightFormats="1" dataCaption="Values" tag="8a8d01c4-72f6-4413-b385-5477c0758454" updatedVersion="8" minRefreshableVersion="3" useAutoFormatting="1" subtotalHiddenItems="1" itemPrintTitles="1" createdVersion="8" indent="0" outline="1" outlineData="1" multipleFieldFilters="0" chartFormat="12">
  <location ref="D35:E3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_ID" fld="1" subtotal="count" baseField="0" baseItem="0"/>
  </dataFields>
  <formats count="1">
    <format dxfId="32">
      <pivotArea outline="0" collapsedLevelsAreSubtotals="1" fieldPosition="0"/>
    </format>
  </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s]"/>
        <x15:activeTabTopLevelEntity name="[Employees]"/>
        <x15:activeTabTopLevelEntity name="[Locations]"/>
        <x15:activeTabTopLevelEntity name="[JobRol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AC5F1F-D2D1-4F49-BC1F-3335F8BCBE5A}" name="PivotTable1" cacheId="284" applyNumberFormats="0" applyBorderFormats="0" applyFontFormats="0" applyPatternFormats="0" applyAlignmentFormats="0" applyWidthHeightFormats="1" dataCaption="Values" tag="57d0d96d-af6c-4866-bcc1-f53aed0c334c" updatedVersion="8" minRefreshableVersion="3" useAutoFormatting="1" subtotalHiddenItems="1" itemPrintTitles="1" createdVersion="8" indent="0" outline="1" outlineData="1" multipleFieldFilters="0" chartFormat="4">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Employee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s]"/>
        <x15:activeTabTopLevelEntity name="[Employe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AE82B0-7AB3-446E-911C-3D6579660E06}" name="PivotTable4" cacheId="293" applyNumberFormats="0" applyBorderFormats="0" applyFontFormats="0" applyPatternFormats="0" applyAlignmentFormats="0" applyWidthHeightFormats="1" dataCaption="Values" tag="8a8d01c4-72f6-4413-b385-5477c0758454" updatedVersion="8" minRefreshableVersion="3" useAutoFormatting="1" subtotalHiddenItems="1" itemPrintTitles="1" createdVersion="8" indent="0" outline="1" outlineData="1" multipleFieldFilters="0" chartFormat="12">
  <location ref="D11:E1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_ID" fld="0" subtotal="count" baseField="0" baseItem="0"/>
  </dataFields>
  <chartFormats count="6">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s]"/>
        <x15:activeTabTopLevelEntity name="[Employees]"/>
        <x15:activeTabTopLevelEntity name="[Locations]"/>
        <x15:activeTabTopLevelEntity name="[JobRol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2F592D-1668-49FA-8661-4F417011A1C6}" name="PivotTable6" cacheId="281" applyNumberFormats="0" applyBorderFormats="0" applyFontFormats="0" applyPatternFormats="0" applyAlignmentFormats="0" applyWidthHeightFormats="1" dataCaption="Values" tag="23501942-8f65-49b7-909e-8284162e24e4" updatedVersion="8" minRefreshableVersion="3" useAutoFormatting="1" subtotalHiddenItems="1" itemPrintTitles="1" createdVersion="8" indent="0" outline="1" outlineData="1" multipleFieldFilters="0" chartFormat="16">
  <location ref="A21:B27" firstHeaderRow="1" firstDataRow="1" firstDataCol="1"/>
  <pivotFields count="6">
    <pivotField dataField="1" subtotalTop="0" showAll="0" defaultSubtotal="0"/>
    <pivotField axis="axisRow" allDrilled="1" subtotalTop="0" showAll="0" dataSourceSort="1" defaultSubtotal="0" defaultAttributeDrillState="1">
      <items count="2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5">
        <item x="0" e="0"/>
        <item x="1" e="0"/>
        <item x="2" e="0"/>
        <item x="3" e="0"/>
        <item x="4" e="0"/>
      </items>
    </pivotField>
    <pivotField allDrilled="1" subtotalTop="0" showAll="0" dataSourceSort="1" defaultSubtotal="0" defaultAttributeDrillState="1"/>
  </pivotFields>
  <rowFields count="4">
    <field x="4"/>
    <field x="3"/>
    <field x="2"/>
    <field x="1"/>
  </rowFields>
  <rowItems count="6">
    <i>
      <x/>
    </i>
    <i>
      <x v="1"/>
    </i>
    <i>
      <x v="2"/>
    </i>
    <i>
      <x v="3"/>
    </i>
    <i>
      <x v="4"/>
    </i>
    <i t="grand">
      <x/>
    </i>
  </rowItems>
  <colItems count="1">
    <i/>
  </colItems>
  <dataFields count="1">
    <dataField name="Count of Employee_ID" fld="0" subtotal="count" baseField="0" baseItem="0"/>
  </dataFields>
  <chartFormats count="7">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0"/>
    <rowHierarchyUsage hierarchyUsage="21"/>
    <rowHierarchyUsage hierarchyUsage="22"/>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s]"/>
        <x15:activeTabTopLevelEntity name="[Employees]"/>
        <x15:activeTabTopLevelEntity name="[Locations]"/>
        <x15:activeTabTopLevelEntity name="[JobRol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BEC712-42F3-4125-A10E-4CCDCFE9E156}" name="PivotTable7" cacheId="299" applyNumberFormats="0" applyBorderFormats="0" applyFontFormats="0" applyPatternFormats="0" applyAlignmentFormats="0" applyWidthHeightFormats="1" dataCaption="Values" tag="8a8d01c4-72f6-4413-b385-5477c0758454" updatedVersion="8" minRefreshableVersion="3" useAutoFormatting="1" subtotalHiddenItems="1" itemPrintTitles="1" createdVersion="8" indent="0" outline="1" outlineData="1" multipleFieldFilters="0" chartFormat="12">
  <location ref="D21:D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loyee_ID" fld="0" subtotal="count" baseField="0" baseItem="0"/>
  </dataFields>
  <chartFormats count="4">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s]"/>
        <x15:activeTabTopLevelEntity name="[Employees]"/>
        <x15:activeTabTopLevelEntity name="[Locations]"/>
        <x15:activeTabTopLevelEntity name="[JobRol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C8B47D-3E1D-4D74-9F98-4B352BA821EA}" name="PivotTable5" cacheId="296" applyNumberFormats="0" applyBorderFormats="0" applyFontFormats="0" applyPatternFormats="0" applyAlignmentFormats="0" applyWidthHeightFormats="1" dataCaption="Values" tag="0bc46653-6bb8-4d36-bede-35903638714d" updatedVersion="8" minRefreshableVersion="3" useAutoFormatting="1" subtotalHiddenItems="1" itemPrintTitles="1" createdVersion="8" indent="0" outline="1" outlineData="1" multipleFieldFilters="0" chartFormat="16">
  <location ref="G1:H7"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mployee_ID" fld="0" subtotal="count" baseField="0" baseItem="0"/>
  </dataFields>
  <chartFormats count="6">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s]"/>
        <x15:activeTabTopLevelEntity name="[Employees]"/>
        <x15:activeTabTopLevelEntity name="[Locations]"/>
        <x15:activeTabTopLevelEntity name="[JobRol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83ACB4-EA85-4D66-805B-15E5D750B48B}" name="PivotTable3" cacheId="290" applyNumberFormats="0" applyBorderFormats="0" applyFontFormats="0" applyPatternFormats="0" applyAlignmentFormats="0" applyWidthHeightFormats="1" dataCaption="Values" tag="c1fbaeaf-0a28-4821-86f3-d4f09904c268" updatedVersion="8" minRefreshableVersion="3" useAutoFormatting="1" subtotalHiddenItems="1" itemPrintTitles="1" createdVersion="8" indent="0" outline="1" outlineData="1" multipleFieldFilters="0" chartFormat="12">
  <location ref="A11:B1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mployee_ID" fld="0" subtotal="count" baseField="0" baseItem="0"/>
  </dataFields>
  <chartFormats count="15">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0" format="4">
      <pivotArea type="data" outline="0" fieldPosition="0">
        <references count="2">
          <reference field="4294967294" count="1" selected="0">
            <x v="0"/>
          </reference>
          <reference field="1" count="1" selected="0">
            <x v="2"/>
          </reference>
        </references>
      </pivotArea>
    </chartFormat>
    <chartFormat chart="10" format="5">
      <pivotArea type="data" outline="0" fieldPosition="0">
        <references count="2">
          <reference field="4294967294" count="1" selected="0">
            <x v="0"/>
          </reference>
          <reference field="1" count="1" selected="0">
            <x v="3"/>
          </reference>
        </references>
      </pivotArea>
    </chartFormat>
    <chartFormat chart="10" format="6">
      <pivotArea type="data" outline="0" fieldPosition="0">
        <references count="2">
          <reference field="4294967294" count="1" selected="0">
            <x v="0"/>
          </reference>
          <reference field="1" count="1" selected="0">
            <x v="4"/>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 count="1" selected="0">
            <x v="0"/>
          </reference>
        </references>
      </pivotArea>
    </chartFormat>
    <chartFormat chart="11" format="9">
      <pivotArea type="data" outline="0" fieldPosition="0">
        <references count="2">
          <reference field="4294967294" count="1" selected="0">
            <x v="0"/>
          </reference>
          <reference field="1" count="1" selected="0">
            <x v="1"/>
          </reference>
        </references>
      </pivotArea>
    </chartFormat>
    <chartFormat chart="11" format="10">
      <pivotArea type="data" outline="0" fieldPosition="0">
        <references count="2">
          <reference field="4294967294" count="1" selected="0">
            <x v="0"/>
          </reference>
          <reference field="1" count="1" selected="0">
            <x v="2"/>
          </reference>
        </references>
      </pivotArea>
    </chartFormat>
    <chartFormat chart="11" format="11">
      <pivotArea type="data" outline="0" fieldPosition="0">
        <references count="2">
          <reference field="4294967294" count="1" selected="0">
            <x v="0"/>
          </reference>
          <reference field="1" count="1" selected="0">
            <x v="3"/>
          </reference>
        </references>
      </pivotArea>
    </chartFormat>
    <chartFormat chart="11" format="12">
      <pivotArea type="data" outline="0" fieldPosition="0">
        <references count="2">
          <reference field="4294967294" count="1" selected="0">
            <x v="0"/>
          </reference>
          <reference field="1" count="1" selected="0">
            <x v="4"/>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s]"/>
        <x15:activeTabTopLevelEntity name="[Employees]"/>
        <x15:activeTabTopLevelEntity name="[Locations]"/>
        <x15:activeTabTopLevelEntity name="[JobRol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EE7BC6-E226-41EE-B9D3-12035EE31264}" name="PivotTable2" cacheId="287" applyNumberFormats="0" applyBorderFormats="0" applyFontFormats="0" applyPatternFormats="0" applyAlignmentFormats="0" applyWidthHeightFormats="1" dataCaption="Values" tag="64e43c70-fc70-4634-913a-50c9ccfd0d4d" updatedVersion="8" minRefreshableVersion="3" useAutoFormatting="1" subtotalHiddenItems="1" itemPrintTitles="1" createdVersion="8" indent="0" outline="1" outlineData="1" multipleFieldFilters="0" chartFormat="10">
  <location ref="D1:E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Salary" fld="1" subtotal="average" baseField="0" baseItem="0"/>
  </dataFields>
  <formats count="1">
    <format dxfId="45">
      <pivotArea collapsedLevelsAreSubtotals="1" fieldPosition="0">
        <references count="1">
          <reference field="0"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s]"/>
        <x15:activeTabTopLevelEntity name="[Employe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786BF9-39B9-409F-82F5-9566310A15EA}" name="PivotTable9" cacheId="305" applyNumberFormats="0" applyBorderFormats="0" applyFontFormats="0" applyPatternFormats="0" applyAlignmentFormats="0" applyWidthHeightFormats="1" dataCaption="Values" tag="8a8d01c4-72f6-4413-b385-5477c0758454" updatedVersion="8" minRefreshableVersion="3" useAutoFormatting="1" subtotalHiddenItems="1" itemPrintTitles="1" createdVersion="8" indent="0" outline="1" outlineData="1" multipleFieldFilters="0" chartFormat="12">
  <location ref="D29:E3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Employee_ID" fld="2" subtotal="count" baseField="0" baseItem="0"/>
  </dataFields>
  <formats count="2">
    <format dxfId="46">
      <pivotArea outline="0" collapsedLevelsAreSubtotals="1" fieldPosition="0"/>
    </format>
    <format dxfId="1">
      <pivotArea collapsedLevelsAreSubtotals="1" fieldPosition="0">
        <references count="1">
          <reference field="1" count="0"/>
        </references>
      </pivotArea>
    </format>
  </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caption="Average of Experience"/>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s]"/>
        <x15:activeTabTopLevelEntity name="[Employees]"/>
        <x15:activeTabTopLevelEntity name="[Locations]"/>
        <x15:activeTabTopLevelEntity name="[JobRol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925CFC-7F7F-4C59-8B47-FA85298234E4}" name="PivotTable8" cacheId="302" applyNumberFormats="0" applyBorderFormats="0" applyFontFormats="0" applyPatternFormats="0" applyAlignmentFormats="0" applyWidthHeightFormats="1" dataCaption="Values" tag="8a8d01c4-72f6-4413-b385-5477c0758454" updatedVersion="8" minRefreshableVersion="3" useAutoFormatting="1" subtotalHiddenItems="1" itemPrintTitles="1" createdVersion="8" indent="0" outline="1" outlineData="1" multipleFieldFilters="0" chartFormat="12">
  <location ref="D25:D26"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Average of Salary" fld="1" subtotal="average" baseField="0" baseItem="0" numFmtId="167"/>
  </dataFields>
  <formats count="1">
    <format dxfId="3">
      <pivotArea outline="0" collapsedLevelsAreSubtotals="1" fieldPosition="0"/>
    </format>
  </formats>
  <pivotHierarchies count="4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s]"/>
        <x15:activeTabTopLevelEntity name="[Employees]"/>
        <x15:activeTabTopLevelEntity name="[Locations]"/>
        <x15:activeTabTopLevelEntity name="[JobRole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D57A40-5040-4BAE-BDA1-BF4BC3FDEC01}" sourceName="[Dates].[Month]">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 tabId="1" name="PivotTable9"/>
    <pivotTable tabId="1" name="PivotTable10"/>
  </pivotTables>
  <data>
    <olap pivotCacheId="2128673754">
      <levels count="2">
        <level uniqueName="[Dates].[Month].[(All)]" sourceCaption="(All)" count="0"/>
        <level uniqueName="[Dates].[Month].[Month]" sourceCaption="Month" count="12">
          <ranges>
            <range startItem="0">
              <i n="[Dates].[Month].&amp;[January]" c="January"/>
              <i n="[Dates].[Month].&amp;[February]" c="February"/>
              <i n="[Dates].[Month].&amp;[March]" c="March"/>
              <i n="[Dates].[Month].&amp;[April]" c="April"/>
              <i n="[Dates].[Month].&amp;[May]" c="May"/>
              <i n="[Dates].[Month].&amp;[June]" c="June"/>
              <i n="[Dates].[Month].&amp;[July]" c="July"/>
              <i n="[Dates].[Month].&amp;[August]" c="August"/>
              <i n="[Dates].[Month].&amp;[September]" c="September"/>
              <i n="[Dates].[Month].&amp;[October]" c="October"/>
              <i n="[Dates].[Month].&amp;[November]" c="November"/>
              <i n="[Dates].[Month].&amp;[December]" c="December"/>
            </range>
          </ranges>
        </level>
      </levels>
      <selections count="1">
        <selection n="[Dates].[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11048D3-99C5-43EB-82E9-DBFDE0AF05EC}" sourceName="[Dates].[Year]">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 tabId="1" name="PivotTable9"/>
    <pivotTable tabId="1" name="PivotTable10"/>
  </pivotTables>
  <data>
    <olap pivotCacheId="67034555">
      <levels count="2">
        <level uniqueName="[Dates].[Year].[(All)]" sourceCaption="(All)" count="0"/>
        <level uniqueName="[Dates].[Year].[Year]" sourceCaption="Year" count="5">
          <ranges>
            <range startItem="0">
              <i n="[Dates].[Year].&amp;[2021]" c="2021"/>
              <i n="[Dates].[Year].&amp;[2022]" c="2022"/>
              <i n="[Dates].[Year].&amp;[2023]" c="2023"/>
              <i n="[Dates].[Year].&amp;[2024]" c="2024"/>
              <i n="[Dates].[Year].&amp;[2025]" c="2025"/>
            </range>
          </ranges>
        </level>
      </levels>
      <selections count="1">
        <selection n="[Date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4EEA5DD-559B-4F0A-8986-5191ECF4459F}" cache="Slicer_Month" caption="Month" showCaption="0" level="1" style="Slicer Style 2" rowHeight="288000"/>
  <slicer name="Year 1" xr10:uid="{BDA3ABCD-BCD9-43FD-8165-868D335BEEFD}" cache="Slicer_Year" caption="Year" columnCount="5" showCaption="0" level="1" style="Slicer Style 2"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13D7E-D479-4A98-9542-9C3605BC0F3B}">
  <dimension ref="A1:H38"/>
  <sheetViews>
    <sheetView topLeftCell="A7" workbookViewId="0">
      <selection activeCell="E30" sqref="E30:E31"/>
    </sheetView>
  </sheetViews>
  <sheetFormatPr defaultRowHeight="14.4" x14ac:dyDescent="0.3"/>
  <cols>
    <col min="1" max="1" width="14.44140625" bestFit="1" customWidth="1"/>
    <col min="2" max="2" width="20.109375" bestFit="1" customWidth="1"/>
    <col min="4" max="4" width="12.5546875" bestFit="1" customWidth="1"/>
    <col min="5" max="5" width="20.109375" bestFit="1" customWidth="1"/>
    <col min="7" max="7" width="12.5546875" bestFit="1" customWidth="1"/>
    <col min="8" max="8" width="20.109375" bestFit="1" customWidth="1"/>
  </cols>
  <sheetData>
    <row r="1" spans="1:8" x14ac:dyDescent="0.3">
      <c r="A1" s="1" t="s">
        <v>0</v>
      </c>
      <c r="B1" t="s">
        <v>4</v>
      </c>
      <c r="D1" s="1" t="s">
        <v>0</v>
      </c>
      <c r="E1" t="s">
        <v>5</v>
      </c>
      <c r="G1" s="1" t="s">
        <v>0</v>
      </c>
      <c r="H1" t="s">
        <v>4</v>
      </c>
    </row>
    <row r="2" spans="1:8" x14ac:dyDescent="0.3">
      <c r="A2" s="2" t="s">
        <v>15</v>
      </c>
      <c r="B2" s="6">
        <v>52</v>
      </c>
      <c r="D2" s="2" t="s">
        <v>15</v>
      </c>
      <c r="E2" s="3">
        <v>40307.692307692305</v>
      </c>
      <c r="G2" s="2" t="s">
        <v>16</v>
      </c>
      <c r="H2" s="6">
        <v>32</v>
      </c>
    </row>
    <row r="3" spans="1:8" x14ac:dyDescent="0.3">
      <c r="A3" s="2" t="s">
        <v>20</v>
      </c>
      <c r="B3" s="6">
        <v>59</v>
      </c>
      <c r="D3" s="2" t="s">
        <v>20</v>
      </c>
      <c r="E3" s="3">
        <v>39271.186440677964</v>
      </c>
      <c r="G3" s="2" t="s">
        <v>24</v>
      </c>
      <c r="H3" s="6">
        <v>32</v>
      </c>
    </row>
    <row r="4" spans="1:8" x14ac:dyDescent="0.3">
      <c r="A4" s="2" t="s">
        <v>1</v>
      </c>
      <c r="B4" s="6">
        <v>64</v>
      </c>
      <c r="D4" s="2" t="s">
        <v>1</v>
      </c>
      <c r="E4" s="3">
        <v>38000</v>
      </c>
      <c r="G4" s="2" t="s">
        <v>6</v>
      </c>
      <c r="H4" s="6">
        <v>31</v>
      </c>
    </row>
    <row r="5" spans="1:8" x14ac:dyDescent="0.3">
      <c r="A5" s="2" t="s">
        <v>2</v>
      </c>
      <c r="B5" s="6">
        <v>64</v>
      </c>
      <c r="D5" s="2" t="s">
        <v>2</v>
      </c>
      <c r="E5" s="3">
        <v>37562.5</v>
      </c>
      <c r="G5" s="2" t="s">
        <v>25</v>
      </c>
      <c r="H5" s="6">
        <v>36</v>
      </c>
    </row>
    <row r="6" spans="1:8" x14ac:dyDescent="0.3">
      <c r="A6" s="2" t="s">
        <v>21</v>
      </c>
      <c r="B6" s="6">
        <v>61</v>
      </c>
      <c r="D6" s="2" t="s">
        <v>21</v>
      </c>
      <c r="E6" s="3">
        <v>36426.229508196724</v>
      </c>
      <c r="G6" s="2" t="s">
        <v>26</v>
      </c>
      <c r="H6" s="6">
        <v>33</v>
      </c>
    </row>
    <row r="7" spans="1:8" x14ac:dyDescent="0.3">
      <c r="A7" s="2" t="s">
        <v>3</v>
      </c>
      <c r="B7" s="6">
        <v>300</v>
      </c>
      <c r="D7" s="2" t="s">
        <v>3</v>
      </c>
      <c r="E7" s="6">
        <v>38236.666666666664</v>
      </c>
      <c r="G7" s="2" t="s">
        <v>3</v>
      </c>
      <c r="H7" s="6">
        <v>164</v>
      </c>
    </row>
    <row r="11" spans="1:8" x14ac:dyDescent="0.3">
      <c r="A11" s="1" t="s">
        <v>0</v>
      </c>
      <c r="B11" t="s">
        <v>4</v>
      </c>
      <c r="D11" s="1" t="s">
        <v>0</v>
      </c>
      <c r="E11" t="s">
        <v>4</v>
      </c>
    </row>
    <row r="12" spans="1:8" x14ac:dyDescent="0.3">
      <c r="A12" s="2" t="s">
        <v>7</v>
      </c>
      <c r="B12" s="6">
        <v>57</v>
      </c>
      <c r="D12" s="2" t="s">
        <v>11</v>
      </c>
      <c r="E12" s="6">
        <v>158</v>
      </c>
    </row>
    <row r="13" spans="1:8" x14ac:dyDescent="0.3">
      <c r="A13" s="2" t="s">
        <v>22</v>
      </c>
      <c r="B13" s="6">
        <v>62</v>
      </c>
      <c r="D13" s="2" t="s">
        <v>12</v>
      </c>
      <c r="E13" s="6">
        <v>142</v>
      </c>
    </row>
    <row r="14" spans="1:8" x14ac:dyDescent="0.3">
      <c r="A14" s="2" t="s">
        <v>8</v>
      </c>
      <c r="B14" s="6">
        <v>64</v>
      </c>
      <c r="D14" s="2" t="s">
        <v>3</v>
      </c>
      <c r="E14" s="6">
        <v>300</v>
      </c>
    </row>
    <row r="15" spans="1:8" x14ac:dyDescent="0.3">
      <c r="A15" s="2" t="s">
        <v>9</v>
      </c>
      <c r="B15" s="6">
        <v>62</v>
      </c>
    </row>
    <row r="16" spans="1:8" x14ac:dyDescent="0.3">
      <c r="A16" s="2" t="s">
        <v>10</v>
      </c>
      <c r="B16" s="6">
        <v>55</v>
      </c>
    </row>
    <row r="17" spans="1:5" x14ac:dyDescent="0.3">
      <c r="A17" s="2" t="s">
        <v>3</v>
      </c>
      <c r="B17" s="6">
        <v>300</v>
      </c>
    </row>
    <row r="21" spans="1:5" x14ac:dyDescent="0.3">
      <c r="A21" s="1" t="s">
        <v>0</v>
      </c>
      <c r="B21" t="s">
        <v>4</v>
      </c>
      <c r="D21" t="s">
        <v>4</v>
      </c>
    </row>
    <row r="22" spans="1:5" x14ac:dyDescent="0.3">
      <c r="A22" s="2" t="s">
        <v>17</v>
      </c>
      <c r="B22" s="6">
        <v>66</v>
      </c>
      <c r="D22" s="6">
        <v>300</v>
      </c>
    </row>
    <row r="23" spans="1:5" x14ac:dyDescent="0.3">
      <c r="A23" s="2" t="s">
        <v>13</v>
      </c>
      <c r="B23" s="6">
        <v>52</v>
      </c>
    </row>
    <row r="24" spans="1:5" x14ac:dyDescent="0.3">
      <c r="A24" s="2" t="s">
        <v>18</v>
      </c>
      <c r="B24" s="6">
        <v>68</v>
      </c>
    </row>
    <row r="25" spans="1:5" x14ac:dyDescent="0.3">
      <c r="A25" s="2" t="s">
        <v>14</v>
      </c>
      <c r="B25" s="6">
        <v>50</v>
      </c>
      <c r="D25" t="s">
        <v>5</v>
      </c>
    </row>
    <row r="26" spans="1:5" x14ac:dyDescent="0.3">
      <c r="A26" s="2" t="s">
        <v>19</v>
      </c>
      <c r="B26" s="6">
        <v>64</v>
      </c>
      <c r="D26" s="8">
        <v>38236.666666666664</v>
      </c>
    </row>
    <row r="27" spans="1:5" x14ac:dyDescent="0.3">
      <c r="A27" s="2" t="s">
        <v>3</v>
      </c>
      <c r="B27" s="6">
        <v>300</v>
      </c>
    </row>
    <row r="29" spans="1:5" x14ac:dyDescent="0.3">
      <c r="D29" s="1" t="s">
        <v>0</v>
      </c>
      <c r="E29" t="s">
        <v>4</v>
      </c>
    </row>
    <row r="30" spans="1:5" x14ac:dyDescent="0.3">
      <c r="D30" s="2" t="s">
        <v>11</v>
      </c>
      <c r="E30" s="3">
        <v>158</v>
      </c>
    </row>
    <row r="31" spans="1:5" x14ac:dyDescent="0.3">
      <c r="D31" s="2" t="s">
        <v>12</v>
      </c>
      <c r="E31" s="3">
        <v>142</v>
      </c>
    </row>
    <row r="32" spans="1:5" x14ac:dyDescent="0.3">
      <c r="D32" s="2" t="s">
        <v>3</v>
      </c>
      <c r="E32" s="5">
        <v>300</v>
      </c>
    </row>
    <row r="35" spans="4:7" x14ac:dyDescent="0.3">
      <c r="D35" s="1" t="s">
        <v>0</v>
      </c>
      <c r="E35" t="s">
        <v>4</v>
      </c>
      <c r="G35" t="s">
        <v>29</v>
      </c>
    </row>
    <row r="36" spans="4:7" x14ac:dyDescent="0.3">
      <c r="D36" s="2" t="s">
        <v>27</v>
      </c>
      <c r="E36" s="5">
        <v>243</v>
      </c>
      <c r="G36" s="7">
        <f>E37/E36</f>
        <v>0.23456790123456789</v>
      </c>
    </row>
    <row r="37" spans="4:7" x14ac:dyDescent="0.3">
      <c r="D37" s="2" t="s">
        <v>28</v>
      </c>
      <c r="E37" s="5">
        <v>57</v>
      </c>
    </row>
    <row r="38" spans="4:7" x14ac:dyDescent="0.3">
      <c r="D38" s="2" t="s">
        <v>3</v>
      </c>
      <c r="E38" s="5">
        <v>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F66FC-DF9F-48A2-BE00-B027E0833728}">
  <dimension ref="S7"/>
  <sheetViews>
    <sheetView tabSelected="1" zoomScale="97" zoomScaleNormal="130" workbookViewId="0">
      <selection activeCell="S9" sqref="S9"/>
    </sheetView>
  </sheetViews>
  <sheetFormatPr defaultRowHeight="14.4" x14ac:dyDescent="0.3"/>
  <cols>
    <col min="1" max="16384" width="8.88671875" style="4"/>
  </cols>
  <sheetData>
    <row r="7" spans="19:19" x14ac:dyDescent="0.3">
      <c r="S7" s="4" t="s">
        <v>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DA40FB8-A0C4-420E-BD24-DCEA674DB08D}">
  <ds:schemaRefs/>
</ds:datastoreItem>
</file>

<file path=customXml/itemProps2.xml><?xml version="1.0" encoding="utf-8"?>
<ds:datastoreItem xmlns:ds="http://schemas.openxmlformats.org/officeDocument/2006/customXml" ds:itemID="{97432A19-DE26-4222-B080-00B8F5950B18}">
  <ds:schemaRefs/>
</ds:datastoreItem>
</file>

<file path=customXml/itemProps3.xml><?xml version="1.0" encoding="utf-8"?>
<ds:datastoreItem xmlns:ds="http://schemas.openxmlformats.org/officeDocument/2006/customXml" ds:itemID="{C3A8B30E-E457-4265-B0CB-C790AD94EB98}">
  <ds:schemaRefs/>
</ds:datastoreItem>
</file>

<file path=customXml/itemProps4.xml><?xml version="1.0" encoding="utf-8"?>
<ds:datastoreItem xmlns:ds="http://schemas.openxmlformats.org/officeDocument/2006/customXml" ds:itemID="{DFAE39C0-47A3-4C34-9981-B1192C85139A}">
  <ds:schemaRefs/>
</ds:datastoreItem>
</file>

<file path=customXml/itemProps5.xml><?xml version="1.0" encoding="utf-8"?>
<ds:datastoreItem xmlns:ds="http://schemas.openxmlformats.org/officeDocument/2006/customXml" ds:itemID="{5A8A13F7-F1CA-4AA5-AD9B-D4FA55BD9B14}">
  <ds:schemaRefs/>
</ds:datastoreItem>
</file>

<file path=customXml/itemProps6.xml><?xml version="1.0" encoding="utf-8"?>
<ds:datastoreItem xmlns:ds="http://schemas.openxmlformats.org/officeDocument/2006/customXml" ds:itemID="{3E0EEC99-0321-4D61-A38F-12EA1B7066DF}">
  <ds:schemaRefs/>
</ds:datastoreItem>
</file>

<file path=customXml/itemProps7.xml><?xml version="1.0" encoding="utf-8"?>
<ds:datastoreItem xmlns:ds="http://schemas.openxmlformats.org/officeDocument/2006/customXml" ds:itemID="{E01F1272-32A9-4E98-8375-5AE6EDD5010A}">
  <ds:schemaRefs/>
</ds:datastoreItem>
</file>

<file path=customXml/itemProps8.xml><?xml version="1.0" encoding="utf-8"?>
<ds:datastoreItem xmlns:ds="http://schemas.openxmlformats.org/officeDocument/2006/customXml" ds:itemID="{D65D003E-3EB2-4F73-B844-F295D205DB69}">
  <ds:schemaRefs/>
</ds:datastoreItem>
</file>

<file path=customXml/itemProps9.xml><?xml version="1.0" encoding="utf-8"?>
<ds:datastoreItem xmlns:ds="http://schemas.openxmlformats.org/officeDocument/2006/customXml" ds:itemID="{B14D4984-FDCD-4FEC-99B8-9DC272900AA8}">
  <ds:schemaRefs>
    <ds:schemaRef ds:uri="http://schemas.microsoft.com/DataMashup"/>
  </ds:schemaRefs>
</ds:datastoreItem>
</file>

<file path=customXml/itemProps10.xml><?xml version="1.0" encoding="utf-8"?>
<ds:datastoreItem xmlns:ds="http://schemas.openxmlformats.org/officeDocument/2006/customXml" ds:itemID="{A44144E2-1CE9-4E13-8D5B-01007AA12D0C}">
  <ds:schemaRefs/>
</ds:datastoreItem>
</file>

<file path=customXml/itemProps11.xml><?xml version="1.0" encoding="utf-8"?>
<ds:datastoreItem xmlns:ds="http://schemas.openxmlformats.org/officeDocument/2006/customXml" ds:itemID="{F2EAD5CA-FB78-4D6A-BC51-2D49132D2950}">
  <ds:schemaRefs/>
</ds:datastoreItem>
</file>

<file path=customXml/itemProps12.xml><?xml version="1.0" encoding="utf-8"?>
<ds:datastoreItem xmlns:ds="http://schemas.openxmlformats.org/officeDocument/2006/customXml" ds:itemID="{064653DC-872A-48BB-800B-3AB6854BD9CE}">
  <ds:schemaRefs/>
</ds:datastoreItem>
</file>

<file path=customXml/itemProps13.xml><?xml version="1.0" encoding="utf-8"?>
<ds:datastoreItem xmlns:ds="http://schemas.openxmlformats.org/officeDocument/2006/customXml" ds:itemID="{FFE739A8-5E72-4CFA-91A3-6460A1641B88}">
  <ds:schemaRefs/>
</ds:datastoreItem>
</file>

<file path=customXml/itemProps14.xml><?xml version="1.0" encoding="utf-8"?>
<ds:datastoreItem xmlns:ds="http://schemas.openxmlformats.org/officeDocument/2006/customXml" ds:itemID="{2B5FA3CF-59D5-406F-9CC5-6964D17358CA}">
  <ds:schemaRefs/>
</ds:datastoreItem>
</file>

<file path=customXml/itemProps15.xml><?xml version="1.0" encoding="utf-8"?>
<ds:datastoreItem xmlns:ds="http://schemas.openxmlformats.org/officeDocument/2006/customXml" ds:itemID="{9518C9B1-A551-4F62-97FE-583044E81551}">
  <ds:schemaRefs/>
</ds:datastoreItem>
</file>

<file path=customXml/itemProps16.xml><?xml version="1.0" encoding="utf-8"?>
<ds:datastoreItem xmlns:ds="http://schemas.openxmlformats.org/officeDocument/2006/customXml" ds:itemID="{9035E981-B5B4-4F54-BC9B-6F96D7C9D702}">
  <ds:schemaRefs/>
</ds:datastoreItem>
</file>

<file path=customXml/itemProps17.xml><?xml version="1.0" encoding="utf-8"?>
<ds:datastoreItem xmlns:ds="http://schemas.openxmlformats.org/officeDocument/2006/customXml" ds:itemID="{6BCA88B4-CACE-4016-BA83-8C276D3B1DD1}">
  <ds:schemaRefs/>
</ds:datastoreItem>
</file>

<file path=customXml/itemProps18.xml><?xml version="1.0" encoding="utf-8"?>
<ds:datastoreItem xmlns:ds="http://schemas.openxmlformats.org/officeDocument/2006/customXml" ds:itemID="{B7EA92A0-DC10-4BF3-ACBF-06CFE788D0A9}">
  <ds:schemaRefs/>
</ds:datastoreItem>
</file>

<file path=customXml/itemProps19.xml><?xml version="1.0" encoding="utf-8"?>
<ds:datastoreItem xmlns:ds="http://schemas.openxmlformats.org/officeDocument/2006/customXml" ds:itemID="{99C570C2-6E43-45DC-8523-570C5A308284}">
  <ds:schemaRefs/>
</ds:datastoreItem>
</file>

<file path=customXml/itemProps20.xml><?xml version="1.0" encoding="utf-8"?>
<ds:datastoreItem xmlns:ds="http://schemas.openxmlformats.org/officeDocument/2006/customXml" ds:itemID="{042F90B6-94EA-4E3E-B569-75C2F198E039}">
  <ds:schemaRefs/>
</ds:datastoreItem>
</file>

<file path=customXml/itemProps21.xml><?xml version="1.0" encoding="utf-8"?>
<ds:datastoreItem xmlns:ds="http://schemas.openxmlformats.org/officeDocument/2006/customXml" ds:itemID="{0D57AA21-7B16-4A19-AD98-58F6DC922F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Trivedi</dc:creator>
  <cp:lastModifiedBy>Aman Trivedi</cp:lastModifiedBy>
  <dcterms:created xsi:type="dcterms:W3CDTF">2026-06-02T13:58:20Z</dcterms:created>
  <dcterms:modified xsi:type="dcterms:W3CDTF">2026-06-04T06:57:31Z</dcterms:modified>
</cp:coreProperties>
</file>